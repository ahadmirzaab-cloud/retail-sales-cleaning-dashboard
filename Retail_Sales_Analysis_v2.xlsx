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 (Messy)" sheetId="1" state="visible" r:id="rId3"/>
    <sheet name="Data Cleaning Log" sheetId="2" state="visible" r:id="rId4"/>
    <sheet name="Clean Data" sheetId="3" state="visible" r:id="rId5"/>
    <sheet name="Summary Dashboard" sheetId="4" state="visible" r:id="rId6"/>
    <sheet name="Monthly Tren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<sst xmlns="http://schemas.openxmlformats.org/spreadsheetml/2006/main" count="7620" uniqueCount="1351">
  <si>
    <t xml:space="preserve">RAW DATA — AS RECEIVED (contains real-world data quality issues)</t>
  </si>
  <si>
    <t xml:space="preserve">OrderID</t>
  </si>
  <si>
    <t xml:space="preserve">Date</t>
  </si>
  <si>
    <t xml:space="preserve">Product</t>
  </si>
  <si>
    <t xml:space="preserve">Category</t>
  </si>
  <si>
    <t xml:space="preserve">Region</t>
  </si>
  <si>
    <t xml:space="preserve">SalesRep</t>
  </si>
  <si>
    <t xml:space="preserve">Quantity</t>
  </si>
  <si>
    <t xml:space="preserve">UnitPrice</t>
  </si>
  <si>
    <t xml:space="preserve">ORD1101</t>
  </si>
  <si>
    <t xml:space="preserve">15-Jan-2024</t>
  </si>
  <si>
    <t xml:space="preserve">usb-c hub</t>
  </si>
  <si>
    <t xml:space="preserve">Accessories</t>
  </si>
  <si>
    <t xml:space="preserve">West</t>
  </si>
  <si>
    <t xml:space="preserve">ORD1577</t>
  </si>
  <si>
    <t xml:space="preserve">2024-03-29 00:00:00</t>
  </si>
  <si>
    <t xml:space="preserve">Mechanical Keyboard</t>
  </si>
  <si>
    <t xml:space="preserve"> North </t>
  </si>
  <si>
    <t xml:space="preserve">Karan Mehta</t>
  </si>
  <si>
    <t xml:space="preserve">ORD1409</t>
  </si>
  <si>
    <t xml:space="preserve">2024-04-02 00:00:00</t>
  </si>
  <si>
    <t xml:space="preserve">Desk Lamp</t>
  </si>
  <si>
    <t xml:space="preserve">Furniture</t>
  </si>
  <si>
    <t xml:space="preserve">South</t>
  </si>
  <si>
    <t xml:space="preserve">Sneha Patel</t>
  </si>
  <si>
    <t xml:space="preserve">ORD1499</t>
  </si>
  <si>
    <t xml:space="preserve">2024-01-11 00:00:00</t>
  </si>
  <si>
    <t xml:space="preserve">Laptop Stand</t>
  </si>
  <si>
    <t xml:space="preserve">Priya Singh</t>
  </si>
  <si>
    <t xml:space="preserve">ORD1224</t>
  </si>
  <si>
    <t xml:space="preserve">2024-01-23 00:00:00</t>
  </si>
  <si>
    <t xml:space="preserve">Power Bank</t>
  </si>
  <si>
    <t xml:space="preserve">Electronics</t>
  </si>
  <si>
    <t xml:space="preserve">ORD1340</t>
  </si>
  <si>
    <t xml:space="preserve">2024-10-13 00:00:00</t>
  </si>
  <si>
    <t xml:space="preserve">Rohit Verma</t>
  </si>
  <si>
    <t xml:space="preserve">ORD1482</t>
  </si>
  <si>
    <t xml:space="preserve">2024-05-12 00:00:00</t>
  </si>
  <si>
    <t xml:space="preserve">Webcam HD</t>
  </si>
  <si>
    <t xml:space="preserve">ORD1041</t>
  </si>
  <si>
    <t xml:space="preserve">2024-10-29 00:00:00</t>
  </si>
  <si>
    <t xml:space="preserve">East</t>
  </si>
  <si>
    <t xml:space="preserve">Amit Sharma</t>
  </si>
  <si>
    <t xml:space="preserve">ORD1047</t>
  </si>
  <si>
    <t xml:space="preserve">2024-02-19 00:00:00</t>
  </si>
  <si>
    <t xml:space="preserve">Wireless Mouse</t>
  </si>
  <si>
    <t xml:space="preserve">ORD1553</t>
  </si>
  <si>
    <t xml:space="preserve">2024-08-02 00:00:00</t>
  </si>
  <si>
    <t xml:space="preserve">WEST</t>
  </si>
  <si>
    <t xml:space="preserve">ORD1603</t>
  </si>
  <si>
    <t xml:space="preserve">2024-05-29 00:00:00</t>
  </si>
  <si>
    <t xml:space="preserve">ORD1521</t>
  </si>
  <si>
    <t xml:space="preserve">2024-01-06 00:00:00</t>
  </si>
  <si>
    <t xml:space="preserve">ORD1292</t>
  </si>
  <si>
    <t xml:space="preserve">2024-09-13 00:00:00</t>
  </si>
  <si>
    <t xml:space="preserve">Cable Organizer</t>
  </si>
  <si>
    <t xml:space="preserve">North</t>
  </si>
  <si>
    <t xml:space="preserve">ORD1069</t>
  </si>
  <si>
    <t xml:space="preserve">2024-10-20 00:00:00</t>
  </si>
  <si>
    <t xml:space="preserve">ORD1610</t>
  </si>
  <si>
    <t xml:space="preserve">2024-08-10 00:00:00</t>
  </si>
  <si>
    <t xml:space="preserve">ORD1233</t>
  </si>
  <si>
    <t xml:space="preserve">2024-09-25 00:00:00</t>
  </si>
  <si>
    <t xml:space="preserve">ORD1632</t>
  </si>
  <si>
    <t xml:space="preserve">2024-07-21 00:00:00</t>
  </si>
  <si>
    <t xml:space="preserve">ORD1023</t>
  </si>
  <si>
    <t xml:space="preserve">2024-05-14 00:00:00</t>
  </si>
  <si>
    <t xml:space="preserve">ORD1551</t>
  </si>
  <si>
    <t xml:space="preserve">2024-06-28 00:00:00</t>
  </si>
  <si>
    <t xml:space="preserve">ORD1013</t>
  </si>
  <si>
    <t xml:space="preserve">2024-10-02 00:00:00</t>
  </si>
  <si>
    <t xml:space="preserve">ORD1475</t>
  </si>
  <si>
    <t xml:space="preserve">2024-07-09 00:00:00</t>
  </si>
  <si>
    <t xml:space="preserve">ORD1066</t>
  </si>
  <si>
    <t xml:space="preserve">2024-03-22 00:00:00</t>
  </si>
  <si>
    <t xml:space="preserve">Monitor 24in</t>
  </si>
  <si>
    <t xml:space="preserve">ORD1132</t>
  </si>
  <si>
    <t xml:space="preserve">2024-08-01 00:00:00</t>
  </si>
  <si>
    <t xml:space="preserve">ORD1329</t>
  </si>
  <si>
    <t xml:space="preserve">2024-05-31 00:00:00</t>
  </si>
  <si>
    <t xml:space="preserve">ORD1621</t>
  </si>
  <si>
    <t xml:space="preserve">ORD1463</t>
  </si>
  <si>
    <t xml:space="preserve">2024-09-01 00:00:00</t>
  </si>
  <si>
    <t xml:space="preserve">ORD1273</t>
  </si>
  <si>
    <t xml:space="preserve">2024-06-14 00:00:00</t>
  </si>
  <si>
    <t xml:space="preserve">ORD1400</t>
  </si>
  <si>
    <t xml:space="preserve">2024-04-18 00:00:00</t>
  </si>
  <si>
    <t xml:space="preserve">ORD1347</t>
  </si>
  <si>
    <t xml:space="preserve">2024-03-18 00:00:00</t>
  </si>
  <si>
    <t xml:space="preserve">ORD1267</t>
  </si>
  <si>
    <t xml:space="preserve">2024-03-02 00:00:00</t>
  </si>
  <si>
    <t xml:space="preserve">ORD1630</t>
  </si>
  <si>
    <t xml:space="preserve">2024-08-23 00:00:00</t>
  </si>
  <si>
    <t xml:space="preserve">USB-C Hub</t>
  </si>
  <si>
    <t xml:space="preserve">ORD1207</t>
  </si>
  <si>
    <t xml:space="preserve">2024-01-07 00:00:00</t>
  </si>
  <si>
    <t xml:space="preserve">ORD1119</t>
  </si>
  <si>
    <t xml:space="preserve">ORD1509</t>
  </si>
  <si>
    <t xml:space="preserve">2024-03-25 00:00:00</t>
  </si>
  <si>
    <t xml:space="preserve">ORD1059</t>
  </si>
  <si>
    <t xml:space="preserve">2024-12-08 00:00:00</t>
  </si>
  <si>
    <t xml:space="preserve">ORD1334</t>
  </si>
  <si>
    <t xml:space="preserve">2024-03-07 00:00:00</t>
  </si>
  <si>
    <t xml:space="preserve">ORD1111</t>
  </si>
  <si>
    <t xml:space="preserve">2024-12-29 00:00:00</t>
  </si>
  <si>
    <t xml:space="preserve">Bluetooth Speaker</t>
  </si>
  <si>
    <t xml:space="preserve">ORD1434</t>
  </si>
  <si>
    <t xml:space="preserve">ORD1564</t>
  </si>
  <si>
    <t xml:space="preserve">12-Oct-2024</t>
  </si>
  <si>
    <t xml:space="preserve">ORD1352</t>
  </si>
  <si>
    <t xml:space="preserve">2024-01-16 00:00:00</t>
  </si>
  <si>
    <t xml:space="preserve">ORD1370</t>
  </si>
  <si>
    <t xml:space="preserve">2024-01-30 00:00:00</t>
  </si>
  <si>
    <t xml:space="preserve"> West </t>
  </si>
  <si>
    <t xml:space="preserve">ORD1496</t>
  </si>
  <si>
    <t xml:space="preserve">2024-03-12 00:00:00</t>
  </si>
  <si>
    <t xml:space="preserve">ORD1429</t>
  </si>
  <si>
    <t xml:space="preserve">2024-11-26 00:00:00</t>
  </si>
  <si>
    <t xml:space="preserve">ORD1165</t>
  </si>
  <si>
    <t xml:space="preserve">2024-05-09 00:00:00</t>
  </si>
  <si>
    <t xml:space="preserve">ORD1371</t>
  </si>
  <si>
    <t xml:space="preserve">2024-12-04 00:00:00</t>
  </si>
  <si>
    <t xml:space="preserve">ORD1034</t>
  </si>
  <si>
    <t xml:space="preserve">2024-09-26 00:00:00</t>
  </si>
  <si>
    <t xml:space="preserve">ORD1200</t>
  </si>
  <si>
    <t xml:space="preserve">2024-08-27 00:00:00</t>
  </si>
  <si>
    <t xml:space="preserve">ORD1181</t>
  </si>
  <si>
    <t xml:space="preserve">2024-06-12 00:00:00</t>
  </si>
  <si>
    <t xml:space="preserve">ORD1363</t>
  </si>
  <si>
    <t xml:space="preserve">2024-05-10 00:00:00</t>
  </si>
  <si>
    <t xml:space="preserve">ORD1504</t>
  </si>
  <si>
    <t xml:space="preserve">2024-01-04 00:00:00</t>
  </si>
  <si>
    <t xml:space="preserve">ORD1589</t>
  </si>
  <si>
    <t xml:space="preserve">2024-08-31 00:00:00</t>
  </si>
  <si>
    <t xml:space="preserve">ORD1159</t>
  </si>
  <si>
    <t xml:space="preserve">ORD1419</t>
  </si>
  <si>
    <t xml:space="preserve">2024-04-05 00:00:00</t>
  </si>
  <si>
    <t xml:space="preserve">ORD1088</t>
  </si>
  <si>
    <t xml:space="preserve">ORD1107</t>
  </si>
  <si>
    <t xml:space="preserve">2024-01-28 00:00:00</t>
  </si>
  <si>
    <t xml:space="preserve">ORD1201</t>
  </si>
  <si>
    <t xml:space="preserve">south</t>
  </si>
  <si>
    <t xml:space="preserve">ORD1526</t>
  </si>
  <si>
    <t xml:space="preserve">ORD1601</t>
  </si>
  <si>
    <t xml:space="preserve">2024-09-06 00:00:00</t>
  </si>
  <si>
    <t xml:space="preserve">ORD1502</t>
  </si>
  <si>
    <t xml:space="preserve">2024-10-15 00:00:00</t>
  </si>
  <si>
    <t xml:space="preserve">ORD1000</t>
  </si>
  <si>
    <t xml:space="preserve">2024-06-24 00:00:00</t>
  </si>
  <si>
    <t xml:space="preserve">ORD1426</t>
  </si>
  <si>
    <t xml:space="preserve">2024-06-22 00:00:00</t>
  </si>
  <si>
    <t xml:space="preserve">ORD1406</t>
  </si>
  <si>
    <t xml:space="preserve">2024-05-07 00:00:00</t>
  </si>
  <si>
    <t xml:space="preserve">ORD1506</t>
  </si>
  <si>
    <t xml:space="preserve">2024-01-17 00:00:00</t>
  </si>
  <si>
    <t xml:space="preserve">ORD1373</t>
  </si>
  <si>
    <t xml:space="preserve">09-21-2024</t>
  </si>
  <si>
    <t xml:space="preserve">ORD1376</t>
  </si>
  <si>
    <t xml:space="preserve">2024-09-10 00:00:00</t>
  </si>
  <si>
    <t xml:space="preserve">ORD1277</t>
  </si>
  <si>
    <t xml:space="preserve">2024-06-13 00:00:00</t>
  </si>
  <si>
    <t xml:space="preserve">ORD1554</t>
  </si>
  <si>
    <t xml:space="preserve">2024-09-04 00:00:00</t>
  </si>
  <si>
    <t xml:space="preserve">ORD1092</t>
  </si>
  <si>
    <t xml:space="preserve">2024-09-17 00:00:00</t>
  </si>
  <si>
    <t xml:space="preserve">ORD1268</t>
  </si>
  <si>
    <t xml:space="preserve">2024-03-09 00:00:00</t>
  </si>
  <si>
    <t xml:space="preserve">ORD1427</t>
  </si>
  <si>
    <t xml:space="preserve">2024-05-03 00:00:00</t>
  </si>
  <si>
    <t xml:space="preserve">ORD1442</t>
  </si>
  <si>
    <t xml:space="preserve">2024-04-01 00:00:00</t>
  </si>
  <si>
    <t xml:space="preserve">ORD1085</t>
  </si>
  <si>
    <t xml:space="preserve">2024-06-11 00:00:00</t>
  </si>
  <si>
    <t xml:space="preserve">ORD1082</t>
  </si>
  <si>
    <t xml:space="preserve">2024-03-13 00:00:00</t>
  </si>
  <si>
    <t xml:space="preserve">ORD1065</t>
  </si>
  <si>
    <t xml:space="preserve">2024-09-21 00:00:00</t>
  </si>
  <si>
    <t xml:space="preserve">ORD1011</t>
  </si>
  <si>
    <t xml:space="preserve">2024-08-12 00:00:00</t>
  </si>
  <si>
    <t xml:space="preserve">ORD1341</t>
  </si>
  <si>
    <t xml:space="preserve">02-29-2024</t>
  </si>
  <si>
    <t xml:space="preserve">ORD1529</t>
  </si>
  <si>
    <t xml:space="preserve">2024-07-30 00:00:00</t>
  </si>
  <si>
    <t xml:space="preserve">ORD1333</t>
  </si>
  <si>
    <t xml:space="preserve">2024-03-19 00:00:00</t>
  </si>
  <si>
    <t xml:space="preserve">ORD1565</t>
  </si>
  <si>
    <t xml:space="preserve">2024-06-15 00:00:00</t>
  </si>
  <si>
    <t xml:space="preserve">ORD1607</t>
  </si>
  <si>
    <t xml:space="preserve">2024-08-15 00:00:00</t>
  </si>
  <si>
    <t xml:space="preserve">ORD1494</t>
  </si>
  <si>
    <t xml:space="preserve">2024-03-31 00:00:00</t>
  </si>
  <si>
    <t xml:space="preserve">ORD1285</t>
  </si>
  <si>
    <t xml:space="preserve">ORD1524</t>
  </si>
  <si>
    <t xml:space="preserve">2024-02-20 00:00:00</t>
  </si>
  <si>
    <t xml:space="preserve">ORD1179</t>
  </si>
  <si>
    <t xml:space="preserve">2024-02-01 00:00:00</t>
  </si>
  <si>
    <t xml:space="preserve">ORD1473</t>
  </si>
  <si>
    <t xml:space="preserve">2024-05-19 00:00:00</t>
  </si>
  <si>
    <t xml:space="preserve">ORD1274</t>
  </si>
  <si>
    <t xml:space="preserve">2024-09-18 00:00:00</t>
  </si>
  <si>
    <t xml:space="preserve">ORD1049</t>
  </si>
  <si>
    <t xml:space="preserve">ORD1593</t>
  </si>
  <si>
    <t xml:space="preserve">2024-03-23 00:00:00</t>
  </si>
  <si>
    <t xml:space="preserve">ORD1185</t>
  </si>
  <si>
    <t xml:space="preserve">2024-12-01 00:00:00</t>
  </si>
  <si>
    <t xml:space="preserve">ORD1172</t>
  </si>
  <si>
    <t xml:space="preserve">ORD1519</t>
  </si>
  <si>
    <t xml:space="preserve">2024-06-02 00:00:00</t>
  </si>
  <si>
    <t xml:space="preserve">ORD1339</t>
  </si>
  <si>
    <t xml:space="preserve">2024-12-30 00:00:00</t>
  </si>
  <si>
    <t xml:space="preserve">ORD1528</t>
  </si>
  <si>
    <t xml:space="preserve">ORD1289</t>
  </si>
  <si>
    <t xml:space="preserve">2024-09-28 00:00:00</t>
  </si>
  <si>
    <t xml:space="preserve">ORD1135</t>
  </si>
  <si>
    <t xml:space="preserve">22/06/2024</t>
  </si>
  <si>
    <t xml:space="preserve">ORD1557</t>
  </si>
  <si>
    <t xml:space="preserve">2024-03-20 00:00:00</t>
  </si>
  <si>
    <t xml:space="preserve">ORD1148</t>
  </si>
  <si>
    <t xml:space="preserve">2024-04-30 00:00:00</t>
  </si>
  <si>
    <t xml:space="preserve">ORD1578</t>
  </si>
  <si>
    <t xml:space="preserve">2024-03-17 00:00:00</t>
  </si>
  <si>
    <t xml:space="preserve">ORD1623</t>
  </si>
  <si>
    <t xml:space="preserve">2024-10-01 00:00:00</t>
  </si>
  <si>
    <t xml:space="preserve">ORD1464</t>
  </si>
  <si>
    <t xml:space="preserve">2024-11-19 00:00:00</t>
  </si>
  <si>
    <t xml:space="preserve">ORD1586</t>
  </si>
  <si>
    <t xml:space="preserve">2024-08-04 00:00:00</t>
  </si>
  <si>
    <t xml:space="preserve">ORD1062</t>
  </si>
  <si>
    <t xml:space="preserve">2024-01-22 00:00:00</t>
  </si>
  <si>
    <t xml:space="preserve">ORD1448</t>
  </si>
  <si>
    <t xml:space="preserve">2024-12-14 00:00:00</t>
  </si>
  <si>
    <t xml:space="preserve">ORD1257</t>
  </si>
  <si>
    <t xml:space="preserve">2024-11-18 00:00:00</t>
  </si>
  <si>
    <t xml:space="preserve">ORD1491</t>
  </si>
  <si>
    <t xml:space="preserve">ORD1523</t>
  </si>
  <si>
    <t xml:space="preserve">2024-09-20 00:00:00</t>
  </si>
  <si>
    <t xml:space="preserve">ORD1311</t>
  </si>
  <si>
    <t xml:space="preserve">2024-03-08 00:00:00</t>
  </si>
  <si>
    <t xml:space="preserve">ORD1247</t>
  </si>
  <si>
    <t xml:space="preserve">ORD1255</t>
  </si>
  <si>
    <t xml:space="preserve">2024-01-19 00:00:00</t>
  </si>
  <si>
    <t xml:space="preserve">Cable Organizer  </t>
  </si>
  <si>
    <t xml:space="preserve">ORD1354</t>
  </si>
  <si>
    <t xml:space="preserve">2024-02-15 00:00:00</t>
  </si>
  <si>
    <t xml:space="preserve">ORD1017</t>
  </si>
  <si>
    <t xml:space="preserve">2024-11-28 00:00:00</t>
  </si>
  <si>
    <t xml:space="preserve">ORD1187</t>
  </si>
  <si>
    <t xml:space="preserve">2024-04-22 00:00:00</t>
  </si>
  <si>
    <t xml:space="preserve">ORD1291</t>
  </si>
  <si>
    <t xml:space="preserve">ORD1060</t>
  </si>
  <si>
    <t xml:space="preserve">ORD1261</t>
  </si>
  <si>
    <t xml:space="preserve">2024-10-10 00:00:00</t>
  </si>
  <si>
    <t xml:space="preserve">ORD1090</t>
  </si>
  <si>
    <t xml:space="preserve">SOUTH</t>
  </si>
  <si>
    <t xml:space="preserve">ORD1392</t>
  </si>
  <si>
    <t xml:space="preserve">2024-04-12 00:00:00</t>
  </si>
  <si>
    <t xml:space="preserve">ORD1453</t>
  </si>
  <si>
    <t xml:space="preserve">2024-10-14 00:00:00</t>
  </si>
  <si>
    <t xml:space="preserve">ORD1323</t>
  </si>
  <si>
    <t xml:space="preserve">2024-04-04 00:00:00</t>
  </si>
  <si>
    <t xml:space="preserve">ORD1250</t>
  </si>
  <si>
    <t xml:space="preserve">2024-05-23 00:00:00</t>
  </si>
  <si>
    <t xml:space="preserve">ORD1359</t>
  </si>
  <si>
    <t xml:space="preserve">ORD1160</t>
  </si>
  <si>
    <t xml:space="preserve">2024-08-28 00:00:00</t>
  </si>
  <si>
    <t xml:space="preserve">ORD1120</t>
  </si>
  <si>
    <t xml:space="preserve">ORD1029</t>
  </si>
  <si>
    <t xml:space="preserve">ORD1487</t>
  </si>
  <si>
    <t xml:space="preserve">2024-07-28 00:00:00</t>
  </si>
  <si>
    <t xml:space="preserve">ORD1520</t>
  </si>
  <si>
    <t xml:space="preserve">2024-09-02 00:00:00</t>
  </si>
  <si>
    <t xml:space="preserve">ORD1472</t>
  </si>
  <si>
    <t xml:space="preserve">2024-04-09 00:00:00</t>
  </si>
  <si>
    <t xml:space="preserve">ORD1364</t>
  </si>
  <si>
    <t xml:space="preserve">2024-01-20 00:00:00</t>
  </si>
  <si>
    <t xml:space="preserve">ORD1404</t>
  </si>
  <si>
    <t xml:space="preserve">2024-05-05 00:00:00</t>
  </si>
  <si>
    <t xml:space="preserve">ORD1414</t>
  </si>
  <si>
    <t xml:space="preserve">2024-07-08 00:00:00</t>
  </si>
  <si>
    <t xml:space="preserve">ORD1242</t>
  </si>
  <si>
    <t xml:space="preserve">2024-11-16 00:00:00</t>
  </si>
  <si>
    <t xml:space="preserve">ORD1103</t>
  </si>
  <si>
    <t xml:space="preserve">2024-07-02 00:00:00</t>
  </si>
  <si>
    <t xml:space="preserve">ORD1173</t>
  </si>
  <si>
    <t xml:space="preserve">ORD1214</t>
  </si>
  <si>
    <t xml:space="preserve">2024-06-10 00:00:00</t>
  </si>
  <si>
    <t xml:space="preserve">ORD1080</t>
  </si>
  <si>
    <t xml:space="preserve">2024-11-20 00:00:00</t>
  </si>
  <si>
    <t xml:space="preserve">ORD1304</t>
  </si>
  <si>
    <t xml:space="preserve">2024-03-16 00:00:00</t>
  </si>
  <si>
    <t xml:space="preserve">ORD1355</t>
  </si>
  <si>
    <t xml:space="preserve">2024-03-03 00:00:00</t>
  </si>
  <si>
    <t xml:space="preserve">ORD1003</t>
  </si>
  <si>
    <t xml:space="preserve">01-Jan-2024</t>
  </si>
  <si>
    <t xml:space="preserve">ORD1408</t>
  </si>
  <si>
    <t xml:space="preserve">2024-10-11 00:00:00</t>
  </si>
  <si>
    <t xml:space="preserve">ORD1009</t>
  </si>
  <si>
    <t xml:space="preserve">2024-09-09 00:00:00</t>
  </si>
  <si>
    <t xml:space="preserve">ORD1626</t>
  </si>
  <si>
    <t xml:space="preserve">ORD1388</t>
  </si>
  <si>
    <t xml:space="preserve">2024-09-03 00:00:00</t>
  </si>
  <si>
    <t xml:space="preserve">ORD1245</t>
  </si>
  <si>
    <t xml:space="preserve">2024-12-19 00:00:00</t>
  </si>
  <si>
    <t xml:space="preserve">ORD1162</t>
  </si>
  <si>
    <t xml:space="preserve">2024-12-18 00:00:00</t>
  </si>
  <si>
    <t xml:space="preserve">ORD1614</t>
  </si>
  <si>
    <t xml:space="preserve">2024-04-10 00:00:00</t>
  </si>
  <si>
    <t xml:space="preserve">ORD1587</t>
  </si>
  <si>
    <t xml:space="preserve">ORD1530</t>
  </si>
  <si>
    <t xml:space="preserve">ORD1236</t>
  </si>
  <si>
    <t xml:space="preserve">2024-03-11 00:00:00</t>
  </si>
  <si>
    <t xml:space="preserve">NORTH</t>
  </si>
  <si>
    <t xml:space="preserve">ORD1379</t>
  </si>
  <si>
    <t xml:space="preserve">2024-02-06 00:00:00</t>
  </si>
  <si>
    <t xml:space="preserve">ORD1040</t>
  </si>
  <si>
    <t xml:space="preserve">2024-08-19 00:00:00</t>
  </si>
  <si>
    <t xml:space="preserve">ORD1477</t>
  </si>
  <si>
    <t xml:space="preserve">ORD1005</t>
  </si>
  <si>
    <t xml:space="preserve">ORD1629</t>
  </si>
  <si>
    <t xml:space="preserve">2024-09-30 00:00:00</t>
  </si>
  <si>
    <t xml:space="preserve">ORD1620</t>
  </si>
  <si>
    <t xml:space="preserve">2024-04-26 00:00:00</t>
  </si>
  <si>
    <t xml:space="preserve">ORD1038</t>
  </si>
  <si>
    <t xml:space="preserve">2024-09-11 00:00:00</t>
  </si>
  <si>
    <t xml:space="preserve">ORD1241</t>
  </si>
  <si>
    <t xml:space="preserve">2024-10-16 00:00:00</t>
  </si>
  <si>
    <t xml:space="preserve">ORD1425</t>
  </si>
  <si>
    <t xml:space="preserve">ORD1574</t>
  </si>
  <si>
    <t xml:space="preserve">2024-01-27 00:00:00</t>
  </si>
  <si>
    <t xml:space="preserve">ORD1067</t>
  </si>
  <si>
    <t xml:space="preserve">06-01-2024</t>
  </si>
  <si>
    <t xml:space="preserve">ORD1124</t>
  </si>
  <si>
    <t xml:space="preserve">2024-03-06 00:00:00</t>
  </si>
  <si>
    <t xml:space="preserve">ORD1039</t>
  </si>
  <si>
    <t xml:space="preserve">2024-01-08 00:00:00</t>
  </si>
  <si>
    <t xml:space="preserve">ORD1536</t>
  </si>
  <si>
    <t xml:space="preserve">2024-05-15 00:00:00</t>
  </si>
  <si>
    <t xml:space="preserve">ORD1481</t>
  </si>
  <si>
    <t xml:space="preserve">14/05/2024</t>
  </si>
  <si>
    <t xml:space="preserve">ORD1195</t>
  </si>
  <si>
    <t xml:space="preserve">ORD1147</t>
  </si>
  <si>
    <t xml:space="preserve">2024-04-21 00:00:00</t>
  </si>
  <si>
    <t xml:space="preserve">ORD1360</t>
  </si>
  <si>
    <t xml:space="preserve">2024-02-16 00:00:00</t>
  </si>
  <si>
    <t xml:space="preserve">ORD1555</t>
  </si>
  <si>
    <t xml:space="preserve">2024-11-05 00:00:00</t>
  </si>
  <si>
    <t xml:space="preserve">ORD1435</t>
  </si>
  <si>
    <t xml:space="preserve">ORD1346</t>
  </si>
  <si>
    <t xml:space="preserve">2024-10-08 00:00:00</t>
  </si>
  <si>
    <t xml:space="preserve">ORD1445</t>
  </si>
  <si>
    <t xml:space="preserve">ORD1031</t>
  </si>
  <si>
    <t xml:space="preserve">2024-02-05 00:00:00</t>
  </si>
  <si>
    <t xml:space="preserve">ORD1374</t>
  </si>
  <si>
    <t xml:space="preserve">ORD1095</t>
  </si>
  <si>
    <t xml:space="preserve">2024-05-13 00:00:00</t>
  </si>
  <si>
    <t xml:space="preserve">ORD1337</t>
  </si>
  <si>
    <t xml:space="preserve">2024-03-01 00:00:00</t>
  </si>
  <si>
    <t xml:space="preserve">ORD1452</t>
  </si>
  <si>
    <t xml:space="preserve">04-10-2024</t>
  </si>
  <si>
    <t xml:space="preserve">ORD1223</t>
  </si>
  <si>
    <t xml:space="preserve">2024-02-22 00:00:00</t>
  </si>
  <si>
    <t xml:space="preserve">ORD1301</t>
  </si>
  <si>
    <t xml:space="preserve">ORD1197</t>
  </si>
  <si>
    <t xml:space="preserve">ORD1074</t>
  </si>
  <si>
    <t xml:space="preserve">ORD1260</t>
  </si>
  <si>
    <t xml:space="preserve">2024-07-20 00:00:00</t>
  </si>
  <si>
    <t xml:space="preserve">ORD1351</t>
  </si>
  <si>
    <t xml:space="preserve">ORD1061</t>
  </si>
  <si>
    <t xml:space="preserve">2024-07-17 00:00:00</t>
  </si>
  <si>
    <t xml:space="preserve">ORD1516</t>
  </si>
  <si>
    <t xml:space="preserve">2024-04-25 00:00:00</t>
  </si>
  <si>
    <t xml:space="preserve">ORD1262</t>
  </si>
  <si>
    <t xml:space="preserve">2024-02-24 00:00:00</t>
  </si>
  <si>
    <t xml:space="preserve">ORD1076</t>
  </si>
  <si>
    <t xml:space="preserve">ORD1579</t>
  </si>
  <si>
    <t xml:space="preserve">ORD1616</t>
  </si>
  <si>
    <t xml:space="preserve">2024-08-06 00:00:00</t>
  </si>
  <si>
    <t xml:space="preserve">ORD1186</t>
  </si>
  <si>
    <t xml:space="preserve">2024-10-27 00:00:00</t>
  </si>
  <si>
    <t xml:space="preserve">ORD1604</t>
  </si>
  <si>
    <t xml:space="preserve">2024-10-19 00:00:00</t>
  </si>
  <si>
    <t xml:space="preserve">ORD1068</t>
  </si>
  <si>
    <t xml:space="preserve">2024-04-06 00:00:00</t>
  </si>
  <si>
    <t xml:space="preserve">mechanical keyboard</t>
  </si>
  <si>
    <t xml:space="preserve">ORD1377</t>
  </si>
  <si>
    <t xml:space="preserve">ORD1573</t>
  </si>
  <si>
    <t xml:space="preserve">2024-01-01 00:00:00</t>
  </si>
  <si>
    <t xml:space="preserve">ORD1118</t>
  </si>
  <si>
    <t xml:space="preserve">2024-02-25 00:00:00</t>
  </si>
  <si>
    <t xml:space="preserve">ORD1004</t>
  </si>
  <si>
    <t xml:space="preserve">2024-02-14 00:00:00</t>
  </si>
  <si>
    <t xml:space="preserve">ORD1602</t>
  </si>
  <si>
    <t xml:space="preserve">2024-07-16 00:00:00</t>
  </si>
  <si>
    <t xml:space="preserve">ORD1486</t>
  </si>
  <si>
    <t xml:space="preserve">2024-04-28 00:00:00</t>
  </si>
  <si>
    <t xml:space="preserve">ORD1575</t>
  </si>
  <si>
    <t xml:space="preserve">ORD1218</t>
  </si>
  <si>
    <t xml:space="preserve">ORD1019</t>
  </si>
  <si>
    <t xml:space="preserve">2024-09-07 00:00:00</t>
  </si>
  <si>
    <t xml:space="preserve">ORD1378</t>
  </si>
  <si>
    <t xml:space="preserve">ORD1365</t>
  </si>
  <si>
    <t xml:space="preserve">ORD1117</t>
  </si>
  <si>
    <t xml:space="preserve">2024-07-01 00:00:00</t>
  </si>
  <si>
    <t xml:space="preserve">ORD1402</t>
  </si>
  <si>
    <t xml:space="preserve">2024-02-07 00:00:00</t>
  </si>
  <si>
    <t xml:space="preserve">ORD1078</t>
  </si>
  <si>
    <t xml:space="preserve">ORD1056</t>
  </si>
  <si>
    <t xml:space="preserve">2024-11-06 00:00:00</t>
  </si>
  <si>
    <t xml:space="preserve">ORD1057</t>
  </si>
  <si>
    <t xml:space="preserve">ORD1180</t>
  </si>
  <si>
    <t xml:space="preserve">2024-09-12 00:00:00</t>
  </si>
  <si>
    <t xml:space="preserve">ORD1480</t>
  </si>
  <si>
    <t xml:space="preserve">2024-06-23 00:00:00</t>
  </si>
  <si>
    <t xml:space="preserve">ORD1042</t>
  </si>
  <si>
    <t xml:space="preserve">ORD1457</t>
  </si>
  <si>
    <t xml:space="preserve">2024-09-23 00:00:00</t>
  </si>
  <si>
    <t xml:space="preserve">ORD1569</t>
  </si>
  <si>
    <t xml:space="preserve">2024-11-04 00:00:00</t>
  </si>
  <si>
    <t xml:space="preserve">ORD1081</t>
  </si>
  <si>
    <t xml:space="preserve">2024-08-22 00:00:00</t>
  </si>
  <si>
    <t xml:space="preserve">ORD1133</t>
  </si>
  <si>
    <t xml:space="preserve">2024-07-26 00:00:00</t>
  </si>
  <si>
    <t xml:space="preserve">ORD1259</t>
  </si>
  <si>
    <t xml:space="preserve">ORD1284</t>
  </si>
  <si>
    <t xml:space="preserve">2024-07-12 00:00:00</t>
  </si>
  <si>
    <t xml:space="preserve">ORD1518</t>
  </si>
  <si>
    <t xml:space="preserve">ORD1161</t>
  </si>
  <si>
    <t xml:space="preserve">2024-03-21 00:00:00</t>
  </si>
  <si>
    <t xml:space="preserve">ORD1627</t>
  </si>
  <si>
    <t xml:space="preserve">ORD1314</t>
  </si>
  <si>
    <t xml:space="preserve">2024-10-03 00:00:00</t>
  </si>
  <si>
    <t xml:space="preserve">ORD1192</t>
  </si>
  <si>
    <t xml:space="preserve">2024-07-15 00:00:00</t>
  </si>
  <si>
    <t xml:space="preserve">ORD1581</t>
  </si>
  <si>
    <t xml:space="preserve">ORD1498</t>
  </si>
  <si>
    <t xml:space="preserve">2024-03-27 00:00:00</t>
  </si>
  <si>
    <t xml:space="preserve">ORD1617</t>
  </si>
  <si>
    <t xml:space="preserve">ORD1293</t>
  </si>
  <si>
    <t xml:space="preserve">2024-05-06 00:00:00</t>
  </si>
  <si>
    <t xml:space="preserve">ORD1350</t>
  </si>
  <si>
    <t xml:space="preserve">ORD1306</t>
  </si>
  <si>
    <t xml:space="preserve">ORD1447</t>
  </si>
  <si>
    <t xml:space="preserve">2024-05-20 00:00:00</t>
  </si>
  <si>
    <t xml:space="preserve">ORD1595</t>
  </si>
  <si>
    <t xml:space="preserve">2024-12-20 00:00:00</t>
  </si>
  <si>
    <t xml:space="preserve">ORD1104</t>
  </si>
  <si>
    <t xml:space="preserve">2024-09-14 00:00:00</t>
  </si>
  <si>
    <t xml:space="preserve">ORD1353</t>
  </si>
  <si>
    <t xml:space="preserve">2024-04-19 00:00:00</t>
  </si>
  <si>
    <t xml:space="preserve">ORD1189</t>
  </si>
  <si>
    <t xml:space="preserve">2024-12-05 00:00:00</t>
  </si>
  <si>
    <t xml:space="preserve">ORD1139</t>
  </si>
  <si>
    <t xml:space="preserve">2024-06-18 00:00:00</t>
  </si>
  <si>
    <t xml:space="preserve">ORD1157</t>
  </si>
  <si>
    <t xml:space="preserve">2024-06-25 00:00:00</t>
  </si>
  <si>
    <t xml:space="preserve">ORD1407</t>
  </si>
  <si>
    <t xml:space="preserve">2024-01-10 00:00:00</t>
  </si>
  <si>
    <t xml:space="preserve"> South </t>
  </si>
  <si>
    <t xml:space="preserve">ORD1016</t>
  </si>
  <si>
    <t xml:space="preserve">2024-02-17 00:00:00</t>
  </si>
  <si>
    <t xml:space="preserve">ORD1415</t>
  </si>
  <si>
    <t xml:space="preserve">2024-06-29 00:00:00</t>
  </si>
  <si>
    <t xml:space="preserve">ORD1609</t>
  </si>
  <si>
    <t xml:space="preserve">2024-08-29 00:00:00</t>
  </si>
  <si>
    <t xml:space="preserve">ORD1433</t>
  </si>
  <si>
    <t xml:space="preserve">ORD1441</t>
  </si>
  <si>
    <t xml:space="preserve">2024-05-28 00:00:00</t>
  </si>
  <si>
    <t xml:space="preserve">ORD1121</t>
  </si>
  <si>
    <t xml:space="preserve">2024-08-24 00:00:00</t>
  </si>
  <si>
    <t xml:space="preserve">ORD1449</t>
  </si>
  <si>
    <t xml:space="preserve">ORD1102</t>
  </si>
  <si>
    <t xml:space="preserve">ORD1052</t>
  </si>
  <si>
    <t xml:space="preserve">ORD1411</t>
  </si>
  <si>
    <t xml:space="preserve">2024-04-27 00:00:00</t>
  </si>
  <si>
    <t xml:space="preserve">ORD1597</t>
  </si>
  <si>
    <t xml:space="preserve">ORD1382</t>
  </si>
  <si>
    <t xml:space="preserve">2024-07-18 00:00:00</t>
  </si>
  <si>
    <t xml:space="preserve">ORD1146</t>
  </si>
  <si>
    <t xml:space="preserve">2024-05-01 00:00:00</t>
  </si>
  <si>
    <t xml:space="preserve">ORD1286</t>
  </si>
  <si>
    <t xml:space="preserve">2024-12-22 00:00:00</t>
  </si>
  <si>
    <t xml:space="preserve">ORD1527</t>
  </si>
  <si>
    <t xml:space="preserve">ORD1097</t>
  </si>
  <si>
    <t xml:space="preserve">ORD1608</t>
  </si>
  <si>
    <t xml:space="preserve">2024-05-21 00:00:00</t>
  </si>
  <si>
    <t xml:space="preserve">ORD1128</t>
  </si>
  <si>
    <t xml:space="preserve">ORD1305</t>
  </si>
  <si>
    <t xml:space="preserve">23/09/2024</t>
  </si>
  <si>
    <t xml:space="preserve">ORD1312</t>
  </si>
  <si>
    <t xml:space="preserve">2024-04-23 00:00:00</t>
  </si>
  <si>
    <t xml:space="preserve">EAST</t>
  </si>
  <si>
    <t xml:space="preserve">ORD1484</t>
  </si>
  <si>
    <t xml:space="preserve">ORD1590</t>
  </si>
  <si>
    <t xml:space="preserve">2024-12-07 00:00:00</t>
  </si>
  <si>
    <t xml:space="preserve">ORD1110</t>
  </si>
  <si>
    <t xml:space="preserve">ORD1444</t>
  </si>
  <si>
    <t xml:space="preserve">ORD1361</t>
  </si>
  <si>
    <t xml:space="preserve">2024-01-31 00:00:00</t>
  </si>
  <si>
    <t xml:space="preserve">ORD1362</t>
  </si>
  <si>
    <t xml:space="preserve">26/04/2024</t>
  </si>
  <si>
    <t xml:space="preserve">ORD1417</t>
  </si>
  <si>
    <t xml:space="preserve">26-Feb-2024</t>
  </si>
  <si>
    <t xml:space="preserve">ORD1142</t>
  </si>
  <si>
    <t xml:space="preserve">ORD1512</t>
  </si>
  <si>
    <t xml:space="preserve">2024-08-26 00:00:00</t>
  </si>
  <si>
    <t xml:space="preserve">ORD1006</t>
  </si>
  <si>
    <t xml:space="preserve">2024-02-08 00:00:00</t>
  </si>
  <si>
    <t xml:space="preserve">ORD1474</t>
  </si>
  <si>
    <t xml:space="preserve">2024-02-02 00:00:00</t>
  </si>
  <si>
    <t xml:space="preserve">ORD1237</t>
  </si>
  <si>
    <t xml:space="preserve">2024-11-29 00:00:00</t>
  </si>
  <si>
    <t xml:space="preserve">ORD1345</t>
  </si>
  <si>
    <t xml:space="preserve">ORD1058</t>
  </si>
  <si>
    <t xml:space="preserve">ORD1232</t>
  </si>
  <si>
    <t xml:space="preserve">2024-03-26 00:00:00</t>
  </si>
  <si>
    <t xml:space="preserve">ORD1522</t>
  </si>
  <si>
    <t xml:space="preserve">2024-02-10 00:00:00</t>
  </si>
  <si>
    <t xml:space="preserve">ORD1203</t>
  </si>
  <si>
    <t xml:space="preserve">ORD1423</t>
  </si>
  <si>
    <t xml:space="preserve">ORD1318</t>
  </si>
  <si>
    <t xml:space="preserve">east</t>
  </si>
  <si>
    <t xml:space="preserve">ORD1002</t>
  </si>
  <si>
    <t xml:space="preserve">2024-02-12 00:00:00</t>
  </si>
  <si>
    <t xml:space="preserve">ORD1572</t>
  </si>
  <si>
    <t xml:space="preserve">ORD1217</t>
  </si>
  <si>
    <t xml:space="preserve">13/12/2024</t>
  </si>
  <si>
    <t xml:space="preserve">ORD1046</t>
  </si>
  <si>
    <t xml:space="preserve">ORD1225</t>
  </si>
  <si>
    <t xml:space="preserve">ORD1018</t>
  </si>
  <si>
    <t xml:space="preserve">ORD1168</t>
  </si>
  <si>
    <t xml:space="preserve">2024-10-25 00:00:00</t>
  </si>
  <si>
    <t xml:space="preserve">ORD1538</t>
  </si>
  <si>
    <t xml:space="preserve"> East </t>
  </si>
  <si>
    <t xml:space="preserve">ORD1422</t>
  </si>
  <si>
    <t xml:space="preserve">ORD1460</t>
  </si>
  <si>
    <t xml:space="preserve">2024-12-10 00:00:00</t>
  </si>
  <si>
    <t xml:space="preserve">ORD1495</t>
  </si>
  <si>
    <t xml:space="preserve">ORD1283</t>
  </si>
  <si>
    <t xml:space="preserve">09-01-2024</t>
  </si>
  <si>
    <t xml:space="preserve">ORD1446</t>
  </si>
  <si>
    <t xml:space="preserve">2024-10-24 00:00:00</t>
  </si>
  <si>
    <t xml:space="preserve">ORD1307</t>
  </si>
  <si>
    <t xml:space="preserve">ORD1093</t>
  </si>
  <si>
    <t xml:space="preserve">ORD1213</t>
  </si>
  <si>
    <t xml:space="preserve">2024-08-17 00:00:00</t>
  </si>
  <si>
    <t xml:space="preserve">ORD1258</t>
  </si>
  <si>
    <t xml:space="preserve">ORD1349</t>
  </si>
  <si>
    <t xml:space="preserve">ORD1106</t>
  </si>
  <si>
    <t xml:space="preserve">2024-07-19 00:00:00</t>
  </si>
  <si>
    <t xml:space="preserve">ORD1115</t>
  </si>
  <si>
    <t xml:space="preserve">ORD1396</t>
  </si>
  <si>
    <t xml:space="preserve">ORD1539</t>
  </si>
  <si>
    <t xml:space="preserve">2024-12-17 00:00:00</t>
  </si>
  <si>
    <t xml:space="preserve">ORD1335</t>
  </si>
  <si>
    <t xml:space="preserve">2024-06-03 00:00:00</t>
  </si>
  <si>
    <t xml:space="preserve">ORD1036</t>
  </si>
  <si>
    <t xml:space="preserve">ORD1375</t>
  </si>
  <si>
    <t xml:space="preserve">ORD1204</t>
  </si>
  <si>
    <t xml:space="preserve">ORD1244</t>
  </si>
  <si>
    <t xml:space="preserve">ORD1221</t>
  </si>
  <si>
    <t xml:space="preserve">2024-01-12 00:00:00</t>
  </si>
  <si>
    <t xml:space="preserve">ORD1246</t>
  </si>
  <si>
    <t xml:space="preserve">2024-12-02 00:00:00</t>
  </si>
  <si>
    <t xml:space="preserve">ORD1510</t>
  </si>
  <si>
    <t xml:space="preserve">Wireless Mouse  </t>
  </si>
  <si>
    <t xml:space="preserve">ORD1421</t>
  </si>
  <si>
    <t xml:space="preserve">2024-02-11 00:00:00</t>
  </si>
  <si>
    <t xml:space="preserve">ORD1249</t>
  </si>
  <si>
    <t xml:space="preserve">2024-10-07 00:00:00</t>
  </si>
  <si>
    <t xml:space="preserve">ORD1122</t>
  </si>
  <si>
    <t xml:space="preserve">ORD1541</t>
  </si>
  <si>
    <t xml:space="preserve">ORD1164</t>
  </si>
  <si>
    <t xml:space="preserve">ORD1543</t>
  </si>
  <si>
    <t xml:space="preserve">ORD1525</t>
  </si>
  <si>
    <t xml:space="preserve">Laptop Stand  </t>
  </si>
  <si>
    <t xml:space="preserve">ORD1239</t>
  </si>
  <si>
    <t xml:space="preserve">2024-06-05 00:00:00</t>
  </si>
  <si>
    <t xml:space="preserve">ORD1459</t>
  </si>
  <si>
    <t xml:space="preserve">ORD1380</t>
  </si>
  <si>
    <t xml:space="preserve">ORD1295</t>
  </si>
  <si>
    <t xml:space="preserve">ORD1537</t>
  </si>
  <si>
    <t xml:space="preserve">ORD1070</t>
  </si>
  <si>
    <t xml:space="preserve">ORD1358</t>
  </si>
  <si>
    <t xml:space="preserve">ORD1328</t>
  </si>
  <si>
    <t xml:space="preserve">2024-05-16 00:00:00</t>
  </si>
  <si>
    <t xml:space="preserve">ORD1098</t>
  </si>
  <si>
    <t xml:space="preserve">2024-05-30 00:00:00</t>
  </si>
  <si>
    <t xml:space="preserve">ORD1619</t>
  </si>
  <si>
    <t xml:space="preserve">ORD1584</t>
  </si>
  <si>
    <t xml:space="preserve">ORD1030</t>
  </si>
  <si>
    <t xml:space="preserve">2024-08-18 00:00:00</t>
  </si>
  <si>
    <t xml:space="preserve">ORD1410</t>
  </si>
  <si>
    <t xml:space="preserve">ORD1127</t>
  </si>
  <si>
    <t xml:space="preserve">2024-04-29 00:00:00</t>
  </si>
  <si>
    <t xml:space="preserve">ORD1001</t>
  </si>
  <si>
    <t xml:space="preserve">2024-04-13 00:00:00</t>
  </si>
  <si>
    <t xml:space="preserve">ORD1533</t>
  </si>
  <si>
    <t xml:space="preserve">2024-02-21 00:00:00</t>
  </si>
  <si>
    <t xml:space="preserve">ORD1027</t>
  </si>
  <si>
    <t xml:space="preserve">ORD1089</t>
  </si>
  <si>
    <t xml:space="preserve">ORD1308</t>
  </si>
  <si>
    <t xml:space="preserve">ORD1073</t>
  </si>
  <si>
    <t xml:space="preserve">2024-01-29 00:00:00</t>
  </si>
  <si>
    <t xml:space="preserve">ORD1500</t>
  </si>
  <si>
    <t xml:space="preserve">ORD1171</t>
  </si>
  <si>
    <t xml:space="preserve">2024-07-11 00:00:00</t>
  </si>
  <si>
    <t xml:space="preserve">ORD1397</t>
  </si>
  <si>
    <t xml:space="preserve">2024-01-21 00:00:00</t>
  </si>
  <si>
    <t xml:space="preserve">ORD1531</t>
  </si>
  <si>
    <t xml:space="preserve">north</t>
  </si>
  <si>
    <t xml:space="preserve">ORD1455</t>
  </si>
  <si>
    <t xml:space="preserve">ORD1368</t>
  </si>
  <si>
    <t xml:space="preserve">ORD1091</t>
  </si>
  <si>
    <t xml:space="preserve">ORD1385</t>
  </si>
  <si>
    <t xml:space="preserve">ORD1549</t>
  </si>
  <si>
    <t xml:space="preserve">desk lamp</t>
  </si>
  <si>
    <t xml:space="preserve">ORD1125</t>
  </si>
  <si>
    <t xml:space="preserve">ORD1615</t>
  </si>
  <si>
    <t xml:space="preserve">2024-03-24 00:00:00</t>
  </si>
  <si>
    <t xml:space="preserve">ORD1315</t>
  </si>
  <si>
    <t xml:space="preserve">2024-09-27 00:00:00</t>
  </si>
  <si>
    <t xml:space="preserve">ORD1012</t>
  </si>
  <si>
    <t xml:space="preserve">ORD1550</t>
  </si>
  <si>
    <t xml:space="preserve">ORD1386</t>
  </si>
  <si>
    <t xml:space="preserve">2024-06-16 00:00:00</t>
  </si>
  <si>
    <t xml:space="preserve">ORD1634</t>
  </si>
  <si>
    <t xml:space="preserve">ORD1432</t>
  </si>
  <si>
    <t xml:space="preserve">ORD1238</t>
  </si>
  <si>
    <t xml:space="preserve">ORD1114</t>
  </si>
  <si>
    <t xml:space="preserve">ORD1511</t>
  </si>
  <si>
    <t xml:space="preserve">ORD1493</t>
  </si>
  <si>
    <t xml:space="preserve">2024-12-31 00:00:00</t>
  </si>
  <si>
    <t xml:space="preserve">ORD1143</t>
  </si>
  <si>
    <t xml:space="preserve">ORD1383</t>
  </si>
  <si>
    <t xml:space="preserve">ORD1014</t>
  </si>
  <si>
    <t xml:space="preserve">2024-11-25 00:00:00</t>
  </si>
  <si>
    <t xml:space="preserve">ORD1598</t>
  </si>
  <si>
    <t xml:space="preserve">ORD1054</t>
  </si>
  <si>
    <t xml:space="preserve">west</t>
  </si>
  <si>
    <t xml:space="preserve">ORD1208</t>
  </si>
  <si>
    <t xml:space="preserve">2024-10-30 00:00:00</t>
  </si>
  <si>
    <t xml:space="preserve">ORD1344</t>
  </si>
  <si>
    <t xml:space="preserve">ORD1131</t>
  </si>
  <si>
    <t xml:space="preserve">USB-C Hub  </t>
  </si>
  <si>
    <t xml:space="preserve">ORD1174</t>
  </si>
  <si>
    <t xml:space="preserve">2024-01-15 00:00:00</t>
  </si>
  <si>
    <t xml:space="preserve">ORD1488</t>
  </si>
  <si>
    <t xml:space="preserve">14/06/2024</t>
  </si>
  <si>
    <t xml:space="preserve">ORD1191</t>
  </si>
  <si>
    <t xml:space="preserve">ORD1270</t>
  </si>
  <si>
    <t xml:space="preserve">ORD1394</t>
  </si>
  <si>
    <t xml:space="preserve">ORD1123</t>
  </si>
  <si>
    <t xml:space="preserve">ORD1138</t>
  </si>
  <si>
    <t xml:space="preserve">2024-08-21 00:00:00</t>
  </si>
  <si>
    <t xml:space="preserve">ORD1051</t>
  </si>
  <si>
    <t xml:space="preserve">2024-07-03 00:00:00</t>
  </si>
  <si>
    <t xml:space="preserve">ORD1220</t>
  </si>
  <si>
    <t xml:space="preserve">ORD1112</t>
  </si>
  <si>
    <t xml:space="preserve">2024-01-05 00:00:00</t>
  </si>
  <si>
    <t xml:space="preserve">ORD1265</t>
  </si>
  <si>
    <t xml:space="preserve">2024-03-10 00:00:00</t>
  </si>
  <si>
    <t xml:space="preserve">ORD1428</t>
  </si>
  <si>
    <t xml:space="preserve">2024-12-15 00:00:00</t>
  </si>
  <si>
    <t xml:space="preserve">ORD1272</t>
  </si>
  <si>
    <t xml:space="preserve">2024-11-09 00:00:00</t>
  </si>
  <si>
    <t xml:space="preserve">ORD1342</t>
  </si>
  <si>
    <t xml:space="preserve">2024-01-18 00:00:00</t>
  </si>
  <si>
    <t xml:space="preserve">ORD1256</t>
  </si>
  <si>
    <t xml:space="preserve">ORD1182</t>
  </si>
  <si>
    <t xml:space="preserve">ORD1105</t>
  </si>
  <si>
    <t xml:space="preserve">ORD1300</t>
  </si>
  <si>
    <t xml:space="preserve">2024-12-28 00:00:00</t>
  </si>
  <si>
    <t xml:space="preserve">ORD1625</t>
  </si>
  <si>
    <t xml:space="preserve">ORD1458</t>
  </si>
  <si>
    <t xml:space="preserve">ORD1240</t>
  </si>
  <si>
    <t xml:space="preserve">2024-11-10 00:00:00</t>
  </si>
  <si>
    <t xml:space="preserve">ORD1230</t>
  </si>
  <si>
    <t xml:space="preserve">ORD1153</t>
  </si>
  <si>
    <t xml:space="preserve">ORD1326</t>
  </si>
  <si>
    <t xml:space="preserve">2024-07-07 00:00:00</t>
  </si>
  <si>
    <t xml:space="preserve">ORD1501</t>
  </si>
  <si>
    <t xml:space="preserve">2024-04-24 00:00:00</t>
  </si>
  <si>
    <t xml:space="preserve">ORD1439</t>
  </si>
  <si>
    <t xml:space="preserve">2024-06-17 00:00:00</t>
  </si>
  <si>
    <t xml:space="preserve">ORD1294</t>
  </si>
  <si>
    <t xml:space="preserve">ORD1150</t>
  </si>
  <si>
    <t xml:space="preserve">2024-05-04 00:00:00</t>
  </si>
  <si>
    <t xml:space="preserve">ORD1556</t>
  </si>
  <si>
    <t xml:space="preserve">2024-11-23 00:00:00</t>
  </si>
  <si>
    <t xml:space="preserve">ORD1163</t>
  </si>
  <si>
    <t xml:space="preserve">ORD1167</t>
  </si>
  <si>
    <t xml:space="preserve">ORD1395</t>
  </si>
  <si>
    <t xml:space="preserve">2024-12-16 00:00:00</t>
  </si>
  <si>
    <t xml:space="preserve">ORD1206</t>
  </si>
  <si>
    <t xml:space="preserve">ORD1188</t>
  </si>
  <si>
    <t xml:space="preserve">ORD1438</t>
  </si>
  <si>
    <t xml:space="preserve">ORD1324</t>
  </si>
  <si>
    <t xml:space="preserve">2024-01-14 00:00:00</t>
  </si>
  <si>
    <t xml:space="preserve">ORD1145</t>
  </si>
  <si>
    <t xml:space="preserve">2024-11-30 00:00:00</t>
  </si>
  <si>
    <t xml:space="preserve">ORD1430</t>
  </si>
  <si>
    <t xml:space="preserve">ORD1226</t>
  </si>
  <si>
    <t xml:space="preserve">2024-12-26 00:00:00</t>
  </si>
  <si>
    <t xml:space="preserve">ORD1216</t>
  </si>
  <si>
    <t xml:space="preserve">2024-04-15 00:00:00</t>
  </si>
  <si>
    <t xml:space="preserve">ORD1194</t>
  </si>
  <si>
    <t xml:space="preserve">05-Dec-2024</t>
  </si>
  <si>
    <t xml:space="preserve">ORD1202</t>
  </si>
  <si>
    <t xml:space="preserve">ORD1298</t>
  </si>
  <si>
    <t xml:space="preserve">2024-03-14 00:00:00</t>
  </si>
  <si>
    <t xml:space="preserve">ORD1567</t>
  </si>
  <si>
    <t xml:space="preserve">2024-06-19 00:00:00</t>
  </si>
  <si>
    <t xml:space="preserve">ORD1483</t>
  </si>
  <si>
    <t xml:space="preserve">2024-11-11 00:00:00</t>
  </si>
  <si>
    <t xml:space="preserve">ORD1465</t>
  </si>
  <si>
    <t xml:space="preserve">2024-02-18 00:00:00</t>
  </si>
  <si>
    <t xml:space="preserve">ORD1440</t>
  </si>
  <si>
    <t xml:space="preserve">ORD1389</t>
  </si>
  <si>
    <t xml:space="preserve">2024-07-04 00:00:00</t>
  </si>
  <si>
    <t xml:space="preserve">ORD1605</t>
  </si>
  <si>
    <t xml:space="preserve">ORD1175</t>
  </si>
  <si>
    <t xml:space="preserve">ORD1571</t>
  </si>
  <si>
    <t xml:space="preserve">ORD1094</t>
  </si>
  <si>
    <t xml:space="preserve">2024-07-06 00:00:00</t>
  </si>
  <si>
    <t xml:space="preserve">ORD1229</t>
  </si>
  <si>
    <t xml:space="preserve">ORD1436</t>
  </si>
  <si>
    <t xml:space="preserve">ORD1280</t>
  </si>
  <si>
    <t xml:space="preserve">ORD1403</t>
  </si>
  <si>
    <t xml:space="preserve">ORD1600</t>
  </si>
  <si>
    <t xml:space="preserve">ORD1228</t>
  </si>
  <si>
    <t xml:space="preserve">ORD1100</t>
  </si>
  <si>
    <t xml:space="preserve">ORD1290</t>
  </si>
  <si>
    <t xml:space="preserve">ORD1566</t>
  </si>
  <si>
    <t xml:space="preserve">2024-12-13 00:00:00</t>
  </si>
  <si>
    <t xml:space="preserve">ORD1366</t>
  </si>
  <si>
    <t xml:space="preserve">Mechanical Keyboard  </t>
  </si>
  <si>
    <t xml:space="preserve">ORD1053</t>
  </si>
  <si>
    <t xml:space="preserve">10-01-2024</t>
  </si>
  <si>
    <t xml:space="preserve">ORD1227</t>
  </si>
  <si>
    <t xml:space="preserve">ORD1391</t>
  </si>
  <si>
    <t xml:space="preserve">ORD1612</t>
  </si>
  <si>
    <t xml:space="preserve">ORD1633</t>
  </si>
  <si>
    <t xml:space="preserve">ORD1154</t>
  </si>
  <si>
    <t xml:space="preserve">ORD1251</t>
  </si>
  <si>
    <t xml:space="preserve">2024-06-06 00:00:00</t>
  </si>
  <si>
    <t xml:space="preserve">ORD1275</t>
  </si>
  <si>
    <t xml:space="preserve">ORD1507</t>
  </si>
  <si>
    <t xml:space="preserve">2024-08-03 00:00:00</t>
  </si>
  <si>
    <t xml:space="preserve">ORD1158</t>
  </si>
  <si>
    <t xml:space="preserve">08-29-2024</t>
  </si>
  <si>
    <t xml:space="preserve">ORD1271</t>
  </si>
  <si>
    <t xml:space="preserve">2024-12-03 00:00:00</t>
  </si>
  <si>
    <t xml:space="preserve">ORD1044</t>
  </si>
  <si>
    <t xml:space="preserve">ORD1624</t>
  </si>
  <si>
    <t xml:space="preserve">2024-07-31 00:00:00</t>
  </si>
  <si>
    <t xml:space="preserve">ORD1113</t>
  </si>
  <si>
    <t xml:space="preserve">09-11-2024</t>
  </si>
  <si>
    <t xml:space="preserve">ORD1546</t>
  </si>
  <si>
    <t xml:space="preserve">ORD1211</t>
  </si>
  <si>
    <t xml:space="preserve">2024-06-20 00:00:00</t>
  </si>
  <si>
    <t xml:space="preserve">ORD1108</t>
  </si>
  <si>
    <t xml:space="preserve">ORD1320</t>
  </si>
  <si>
    <t xml:space="preserve">ORD1169</t>
  </si>
  <si>
    <t xml:space="preserve">2024-06-26 00:00:00</t>
  </si>
  <si>
    <t xml:space="preserve">ORD1079</t>
  </si>
  <si>
    <t xml:space="preserve">ORD1050</t>
  </si>
  <si>
    <t xml:space="preserve">ORD1084</t>
  </si>
  <si>
    <t xml:space="preserve">ORD1008</t>
  </si>
  <si>
    <t xml:space="preserve">ORD1032</t>
  </si>
  <si>
    <t xml:space="preserve">ORD1099</t>
  </si>
  <si>
    <t xml:space="preserve">ORD1109</t>
  </si>
  <si>
    <t xml:space="preserve">2024-12-09 00:00:00</t>
  </si>
  <si>
    <t xml:space="preserve">ORD1136</t>
  </si>
  <si>
    <t xml:space="preserve">ORD1330</t>
  </si>
  <si>
    <t xml:space="preserve">ORD1222</t>
  </si>
  <si>
    <t xml:space="preserve">ORD1028</t>
  </si>
  <si>
    <t xml:space="preserve">ORD1287</t>
  </si>
  <si>
    <t xml:space="preserve">ORD1545</t>
  </si>
  <si>
    <t xml:space="preserve">ORD1055</t>
  </si>
  <si>
    <t xml:space="preserve">ORD1156</t>
  </si>
  <si>
    <t xml:space="preserve">2024-03-30 00:00:00</t>
  </si>
  <si>
    <t xml:space="preserve">ORD1559</t>
  </si>
  <si>
    <t xml:space="preserve">ORD1570</t>
  </si>
  <si>
    <t xml:space="preserve">ORD1310</t>
  </si>
  <si>
    <t xml:space="preserve">ORD1048</t>
  </si>
  <si>
    <t xml:space="preserve">ORD1083</t>
  </si>
  <si>
    <t xml:space="preserve">ORD1548</t>
  </si>
  <si>
    <t xml:space="preserve">2024-03-05 00:00:00</t>
  </si>
  <si>
    <t xml:space="preserve">ORD1033</t>
  </si>
  <si>
    <t xml:space="preserve">ORD1437</t>
  </si>
  <si>
    <t xml:space="preserve">ORD1035</t>
  </si>
  <si>
    <t xml:space="preserve">ORD1331</t>
  </si>
  <si>
    <t xml:space="preserve">ORD1063</t>
  </si>
  <si>
    <t xml:space="preserve">2024-08-25 00:00:00</t>
  </si>
  <si>
    <t xml:space="preserve">ORD1413</t>
  </si>
  <si>
    <t xml:space="preserve">ORD1384</t>
  </si>
  <si>
    <t xml:space="preserve">ORD1563</t>
  </si>
  <si>
    <t xml:space="preserve">ORD1479</t>
  </si>
  <si>
    <t xml:space="preserve">ORD1322</t>
  </si>
  <si>
    <t xml:space="preserve">ORD1372</t>
  </si>
  <si>
    <t xml:space="preserve">ORD1451</t>
  </si>
  <si>
    <t xml:space="preserve">05-10-2024</t>
  </si>
  <si>
    <t xml:space="preserve">ORD1613</t>
  </si>
  <si>
    <t xml:space="preserve">2024-07-24 00:00:00</t>
  </si>
  <si>
    <t xml:space="preserve">ORD1234</t>
  </si>
  <si>
    <t xml:space="preserve">ORD1412</t>
  </si>
  <si>
    <t xml:space="preserve">2024-10-21 00:00:00</t>
  </si>
  <si>
    <t xml:space="preserve">ORD1631</t>
  </si>
  <si>
    <t xml:space="preserve">ORD1343</t>
  </si>
  <si>
    <t xml:space="preserve">2024-10-31 00:00:00</t>
  </si>
  <si>
    <t xml:space="preserve">ORD1045</t>
  </si>
  <si>
    <t xml:space="preserve">2024-08-11 00:00:00</t>
  </si>
  <si>
    <t xml:space="preserve">ORD1462</t>
  </si>
  <si>
    <t xml:space="preserve">2024-12-24 00:00:00</t>
  </si>
  <si>
    <t xml:space="preserve">ORD1424</t>
  </si>
  <si>
    <t xml:space="preserve">ORD1558</t>
  </si>
  <si>
    <t xml:space="preserve">ORD1303</t>
  </si>
  <si>
    <t xml:space="preserve">ORD1560</t>
  </si>
  <si>
    <t xml:space="preserve">ORD1177</t>
  </si>
  <si>
    <t xml:space="preserve">ORD1219</t>
  </si>
  <si>
    <t xml:space="preserve">2024-04-16 00:00:00</t>
  </si>
  <si>
    <t xml:space="preserve">ORD1552</t>
  </si>
  <si>
    <t xml:space="preserve">ORD1296</t>
  </si>
  <si>
    <t xml:space="preserve">2024-11-13 00:00:00</t>
  </si>
  <si>
    <t xml:space="preserve">ORD1021</t>
  </si>
  <si>
    <t xml:space="preserve">ORD1248</t>
  </si>
  <si>
    <t xml:space="preserve">ORD1622</t>
  </si>
  <si>
    <t xml:space="preserve">ORD1420</t>
  </si>
  <si>
    <t xml:space="preserve">ORD1325</t>
  </si>
  <si>
    <t xml:space="preserve">2024-05-18 00:00:00</t>
  </si>
  <si>
    <t xml:space="preserve">ORD1309</t>
  </si>
  <si>
    <t xml:space="preserve">ORD1199</t>
  </si>
  <si>
    <t xml:space="preserve">ORD1450</t>
  </si>
  <si>
    <t xml:space="preserve">ORD1137</t>
  </si>
  <si>
    <t xml:space="preserve">2024-04-11 00:00:00</t>
  </si>
  <si>
    <t xml:space="preserve">ORD1024</t>
  </si>
  <si>
    <t xml:space="preserve">2024-04-20 00:00:00</t>
  </si>
  <si>
    <t xml:space="preserve">ORD1399</t>
  </si>
  <si>
    <t xml:space="preserve">ORD1443</t>
  </si>
  <si>
    <t xml:space="preserve">ORD1184</t>
  </si>
  <si>
    <t xml:space="preserve">ORD1205</t>
  </si>
  <si>
    <t xml:space="preserve">ORD1134</t>
  </si>
  <si>
    <t xml:space="preserve">ORD1299</t>
  </si>
  <si>
    <t xml:space="preserve">ORD1116</t>
  </si>
  <si>
    <t xml:space="preserve">ORD1212</t>
  </si>
  <si>
    <t xml:space="preserve">ORD1611</t>
  </si>
  <si>
    <t xml:space="preserve">ORD1618</t>
  </si>
  <si>
    <t xml:space="preserve">ORD1592</t>
  </si>
  <si>
    <t xml:space="preserve">21/07/2024</t>
  </si>
  <si>
    <t xml:space="preserve">ORD1582</t>
  </si>
  <si>
    <t xml:space="preserve">ORD1467</t>
  </si>
  <si>
    <t xml:space="preserve">ORD1505</t>
  </si>
  <si>
    <t xml:space="preserve">ORD1517</t>
  </si>
  <si>
    <t xml:space="preserve">ORD1231</t>
  </si>
  <si>
    <t xml:space="preserve">2024-02-27 00:00:00</t>
  </si>
  <si>
    <t xml:space="preserve">ORD1405</t>
  </si>
  <si>
    <t xml:space="preserve">ORD1317</t>
  </si>
  <si>
    <t xml:space="preserve">ORD1183</t>
  </si>
  <si>
    <t xml:space="preserve">ORD1544</t>
  </si>
  <si>
    <t xml:space="preserve">2024-05-02 00:00:00</t>
  </si>
  <si>
    <t xml:space="preserve">ORD1547</t>
  </si>
  <si>
    <t xml:space="preserve">ORD1485</t>
  </si>
  <si>
    <t xml:space="preserve">2024-06-08 00:00:00</t>
  </si>
  <si>
    <t xml:space="preserve">ORD1278</t>
  </si>
  <si>
    <t xml:space="preserve">ORD1020</t>
  </si>
  <si>
    <t xml:space="preserve">2024-05-11 00:00:00</t>
  </si>
  <si>
    <t xml:space="preserve">ORD1170</t>
  </si>
  <si>
    <t xml:space="preserve">ORD1401</t>
  </si>
  <si>
    <t xml:space="preserve">ORD1585</t>
  </si>
  <si>
    <t xml:space="preserve">ORD1176</t>
  </si>
  <si>
    <t xml:space="preserve">2024-05-17 00:00:00</t>
  </si>
  <si>
    <t xml:space="preserve">ORD1327</t>
  </si>
  <si>
    <t xml:space="preserve">2024-01-13 00:00:00</t>
  </si>
  <si>
    <t xml:space="preserve">ORD1198</t>
  </si>
  <si>
    <t xml:space="preserve">ORD1470</t>
  </si>
  <si>
    <t xml:space="preserve">ORD1535</t>
  </si>
  <si>
    <t xml:space="preserve">ORD1266</t>
  </si>
  <si>
    <t xml:space="preserve">ORD1492</t>
  </si>
  <si>
    <t xml:space="preserve">ORD1130</t>
  </si>
  <si>
    <t xml:space="preserve">ORD1338</t>
  </si>
  <si>
    <t xml:space="preserve">ORD1540</t>
  </si>
  <si>
    <t xml:space="preserve">ORD1489</t>
  </si>
  <si>
    <t xml:space="preserve">ORD1193</t>
  </si>
  <si>
    <t xml:space="preserve">Power Bank  </t>
  </si>
  <si>
    <t xml:space="preserve">ORD1140</t>
  </si>
  <si>
    <t xml:space="preserve">ORD1416</t>
  </si>
  <si>
    <t xml:space="preserve">02-25-2024</t>
  </si>
  <si>
    <t xml:space="preserve">ORD1476</t>
  </si>
  <si>
    <t xml:space="preserve">ORD1152</t>
  </si>
  <si>
    <t xml:space="preserve">ORD1568</t>
  </si>
  <si>
    <t xml:space="preserve">2024-07-29 00:00:00</t>
  </si>
  <si>
    <t xml:space="preserve">ORD1010</t>
  </si>
  <si>
    <t xml:space="preserve">18-Oct-2024</t>
  </si>
  <si>
    <t xml:space="preserve">ORD1269</t>
  </si>
  <si>
    <t xml:space="preserve">ORD1096</t>
  </si>
  <si>
    <t xml:space="preserve">ORD1210</t>
  </si>
  <si>
    <t xml:space="preserve">ORD1628</t>
  </si>
  <si>
    <t xml:space="preserve">ORD1599</t>
  </si>
  <si>
    <t xml:space="preserve">ORD1532</t>
  </si>
  <si>
    <t xml:space="preserve">ORD1591</t>
  </si>
  <si>
    <t xml:space="preserve">ORD1332</t>
  </si>
  <si>
    <t xml:space="preserve">2024-10-17 00:00:00</t>
  </si>
  <si>
    <t xml:space="preserve">ORD1075</t>
  </si>
  <si>
    <t xml:space="preserve">ORD1077</t>
  </si>
  <si>
    <t xml:space="preserve">2024-06-27 00:00:00</t>
  </si>
  <si>
    <t xml:space="preserve">ORD1263</t>
  </si>
  <si>
    <t xml:space="preserve">ORD1149</t>
  </si>
  <si>
    <t xml:space="preserve">ORD1514</t>
  </si>
  <si>
    <t xml:space="preserve">ORD1596</t>
  </si>
  <si>
    <t xml:space="preserve">ORD1469</t>
  </si>
  <si>
    <t xml:space="preserve">2024-05-22 00:00:00</t>
  </si>
  <si>
    <t xml:space="preserve">ORD1461</t>
  </si>
  <si>
    <t xml:space="preserve">ORD1253</t>
  </si>
  <si>
    <t xml:space="preserve">ORD1369</t>
  </si>
  <si>
    <t xml:space="preserve">2024-08-08 00:00:00</t>
  </si>
  <si>
    <t xml:space="preserve">ORD1321</t>
  </si>
  <si>
    <t xml:space="preserve">2024-10-09 00:00:00</t>
  </si>
  <si>
    <t xml:space="preserve">power bank</t>
  </si>
  <si>
    <t xml:space="preserve">ORD1151</t>
  </si>
  <si>
    <t xml:space="preserve">2024-12-25 00:00:00</t>
  </si>
  <si>
    <t xml:space="preserve">ORD1302</t>
  </si>
  <si>
    <t xml:space="preserve">ORD1190</t>
  </si>
  <si>
    <t xml:space="preserve">ORD1348</t>
  </si>
  <si>
    <t xml:space="preserve">2024-10-04 00:00:00</t>
  </si>
  <si>
    <t xml:space="preserve">ORD1243</t>
  </si>
  <si>
    <t xml:space="preserve">ORD1087</t>
  </si>
  <si>
    <t xml:space="preserve">ORD1576</t>
  </si>
  <si>
    <t xml:space="preserve">ORD1418</t>
  </si>
  <si>
    <t xml:space="preserve">ORD1288</t>
  </si>
  <si>
    <t xml:space="preserve">ORD1166</t>
  </si>
  <si>
    <t xml:space="preserve">ORD1594</t>
  </si>
  <si>
    <t xml:space="preserve">ORD1155</t>
  </si>
  <si>
    <t xml:space="preserve">ORD1356</t>
  </si>
  <si>
    <t xml:space="preserve">ORD1381</t>
  </si>
  <si>
    <t xml:space="preserve">ORD1279</t>
  </si>
  <si>
    <t xml:space="preserve">ORD1126</t>
  </si>
  <si>
    <t xml:space="preserve">ORD1022</t>
  </si>
  <si>
    <t xml:space="preserve">ORD1282</t>
  </si>
  <si>
    <t xml:space="preserve">ORD1471</t>
  </si>
  <si>
    <t xml:space="preserve">ORD1367</t>
  </si>
  <si>
    <t xml:space="preserve">ORD1025</t>
  </si>
  <si>
    <t xml:space="preserve">ORD1196</t>
  </si>
  <si>
    <t xml:space="preserve">ORD1064</t>
  </si>
  <si>
    <t xml:space="preserve">ORD1015</t>
  </si>
  <si>
    <t xml:space="preserve">monitor 24in</t>
  </si>
  <si>
    <t xml:space="preserve">ORD1466</t>
  </si>
  <si>
    <t xml:space="preserve">ORD1297</t>
  </si>
  <si>
    <t xml:space="preserve">ORD1336</t>
  </si>
  <si>
    <t xml:space="preserve">ORD1026</t>
  </si>
  <si>
    <t xml:space="preserve">01-Jul-2024</t>
  </si>
  <si>
    <t xml:space="preserve">ORD1588</t>
  </si>
  <si>
    <t xml:space="preserve">ORD1043</t>
  </si>
  <si>
    <t xml:space="preserve">ORD1497</t>
  </si>
  <si>
    <t xml:space="preserve">ORD1515</t>
  </si>
  <si>
    <t xml:space="preserve">2024-06-30 00:00:00</t>
  </si>
  <si>
    <t xml:space="preserve">ORD1606</t>
  </si>
  <si>
    <t xml:space="preserve">ORD1561</t>
  </si>
  <si>
    <t xml:space="preserve">ORD1454</t>
  </si>
  <si>
    <t xml:space="preserve">ORD1387</t>
  </si>
  <si>
    <t xml:space="preserve">ORD1071</t>
  </si>
  <si>
    <t xml:space="preserve">ORD1542</t>
  </si>
  <si>
    <t xml:space="preserve">ORD1456</t>
  </si>
  <si>
    <t xml:space="preserve">ORD1431</t>
  </si>
  <si>
    <t xml:space="preserve">ORD1264</t>
  </si>
  <si>
    <t xml:space="preserve">ORD1209</t>
  </si>
  <si>
    <t xml:space="preserve">ORD1316</t>
  </si>
  <si>
    <t xml:space="preserve">ORD1513</t>
  </si>
  <si>
    <t xml:space="preserve">2024-06-09 00:00:00</t>
  </si>
  <si>
    <t xml:space="preserve">ORD1313</t>
  </si>
  <si>
    <t xml:space="preserve">ORD1534</t>
  </si>
  <si>
    <t xml:space="preserve">ORD1319</t>
  </si>
  <si>
    <t xml:space="preserve">2024-01-25 00:00:00</t>
  </si>
  <si>
    <t xml:space="preserve">ORD1007</t>
  </si>
  <si>
    <t xml:space="preserve">2024-07-14 00:00:00</t>
  </si>
  <si>
    <t xml:space="preserve">ORD1393</t>
  </si>
  <si>
    <t xml:space="preserve">ORD1141</t>
  </si>
  <si>
    <t xml:space="preserve">2024-01-09 00:00:00</t>
  </si>
  <si>
    <t xml:space="preserve">ORD1086</t>
  </si>
  <si>
    <t xml:space="preserve">ORD1478</t>
  </si>
  <si>
    <t xml:space="preserve">ORD1503</t>
  </si>
  <si>
    <t xml:space="preserve">ORD1215</t>
  </si>
  <si>
    <t xml:space="preserve">webcam hd</t>
  </si>
  <si>
    <t xml:space="preserve">ORD1580</t>
  </si>
  <si>
    <t xml:space="preserve">ORD1562</t>
  </si>
  <si>
    <t xml:space="preserve">ORD1398</t>
  </si>
  <si>
    <t xml:space="preserve">ORD1490</t>
  </si>
  <si>
    <t xml:space="preserve">2024-12-11 00:00:00</t>
  </si>
  <si>
    <t xml:space="preserve">ORD1252</t>
  </si>
  <si>
    <t xml:space="preserve">2024-05-24 00:00:00</t>
  </si>
  <si>
    <t xml:space="preserve">ORD1468</t>
  </si>
  <si>
    <t xml:space="preserve">ORD1357</t>
  </si>
  <si>
    <t xml:space="preserve">ORD1254</t>
  </si>
  <si>
    <t xml:space="preserve">ORD1276</t>
  </si>
  <si>
    <t xml:space="preserve">ORD1178</t>
  </si>
  <si>
    <t xml:space="preserve">ORD1281</t>
  </si>
  <si>
    <t xml:space="preserve">2024-09-29 00:00:00</t>
  </si>
  <si>
    <t xml:space="preserve">ORD1390</t>
  </si>
  <si>
    <t xml:space="preserve">ORD1508</t>
  </si>
  <si>
    <t xml:space="preserve">ORD1583</t>
  </si>
  <si>
    <t xml:space="preserve">ORD1129</t>
  </si>
  <si>
    <t xml:space="preserve">ORD1144</t>
  </si>
  <si>
    <t xml:space="preserve">ORD1072</t>
  </si>
  <si>
    <t xml:space="preserve">ORD1235</t>
  </si>
  <si>
    <t xml:space="preserve">ORD1037</t>
  </si>
  <si>
    <t xml:space="preserve">DATA CLEANING PROCESS</t>
  </si>
  <si>
    <t xml:space="preserve">Documented steps taken to clean the raw dataset before analysis</t>
  </si>
  <si>
    <t xml:space="preserve">Step</t>
  </si>
  <si>
    <t xml:space="preserve">Action Taken</t>
  </si>
  <si>
    <t xml:space="preserve">Starting rows: 635</t>
  </si>
  <si>
    <t xml:space="preserve">Dates standardized to YYYY-MM-DD. Unparseable dates: 0</t>
  </si>
  <si>
    <t xml:space="preserve">Trimmed whitespace and standardized casing in Product (canonical map), Category, Region, SalesRep</t>
  </si>
  <si>
    <t xml:space="preserve">Removed 15 duplicate transaction entries</t>
  </si>
  <si>
    <t xml:space="preserve">Corrected 6 negative quantity entries (data entry errors) to positive</t>
  </si>
  <si>
    <t xml:space="preserve">Filled 18 missing Quantity values using category median</t>
  </si>
  <si>
    <t xml:space="preserve">Filled 12 missing UnitPrice values using product-level median price</t>
  </si>
  <si>
    <t xml:space="preserve">Labeled 8 missing SalesRep entries as 'Unassigned' (kept rows, revenue still counted)</t>
  </si>
  <si>
    <t xml:space="preserve">Final clean rows: 620</t>
  </si>
  <si>
    <t xml:space="preserve">BEFORE vs AFTER</t>
  </si>
  <si>
    <t xml:space="preserve">Metric</t>
  </si>
  <si>
    <t xml:space="preserve">Raw Data</t>
  </si>
  <si>
    <t xml:space="preserve">Clean Data</t>
  </si>
  <si>
    <t xml:space="preserve">Total Rows</t>
  </si>
  <si>
    <t xml:space="preserve">Missing Quantity</t>
  </si>
  <si>
    <t xml:space="preserve">Missing UnitPrice</t>
  </si>
  <si>
    <t xml:space="preserve">Missing SalesRep</t>
  </si>
  <si>
    <t xml:space="preserve">Duplicate Transactions</t>
  </si>
  <si>
    <t xml:space="preserve">Negative Quantity Errors</t>
  </si>
  <si>
    <t xml:space="preserve">TotalSale</t>
  </si>
  <si>
    <t xml:space="preserve">2024-01-01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</si>
  <si>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</si>
  <si>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</si>
  <si>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</si>
  <si>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</si>
  <si>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</si>
  <si>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</si>
  <si>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</si>
  <si>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</si>
  <si>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</si>
  <si>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</si>
  <si>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</si>
  <si>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</si>
  <si>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Unassigned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</si>
  <si>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</si>
  <si>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</si>
  <si>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</si>
  <si>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</si>
  <si>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</si>
  <si>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</si>
  <si>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</si>
  <si>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</si>
  <si>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2024-01-25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</si>
  <si>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</si>
  <si>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</si>
  <si>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</si>
  <si>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</si>
  <si>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</si>
  <si>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</si>
  <si>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</si>
  <si>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</si>
  <si>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</si>
  <si>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</si>
  <si>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</si>
  <si>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2024-02-10</t>
  </si>
  <si>
    <t xml:space="preserve">2024-02-11</t>
  </si>
  <si>
    <t xml:space="preserve">2024-02-12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</si>
  <si>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</si>
  <si>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</si>
  <si>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</si>
  <si>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</si>
  <si>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</si>
  <si>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</si>
  <si>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</si>
  <si>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</si>
  <si>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</si>
  <si>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</si>
  <si>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</si>
  <si>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</si>
  <si>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</si>
  <si>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</si>
  <si>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</si>
  <si>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</si>
  <si>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</si>
  <si>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</si>
  <si>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</si>
  <si>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</si>
  <si>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</si>
  <si>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</si>
  <si>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</si>
  <si>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</si>
  <si>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</si>
  <si>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</si>
  <si>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</si>
  <si>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</si>
  <si>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</si>
  <si>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</si>
  <si>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</si>
  <si>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</si>
  <si>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</si>
  <si>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</si>
  <si>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</si>
  <si>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</si>
  <si>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</si>
  <si>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</si>
  <si>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</si>
  <si>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</si>
  <si>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</si>
  <si>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</si>
  <si>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</si>
  <si>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</si>
  <si>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2024-04-04</t>
  </si>
  <si>
    <t xml:space="preserve">2024-04-05</t>
  </si>
  <si>
    <t xml:space="preserve">2024-04-06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</si>
  <si>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</si>
  <si>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</si>
  <si>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</si>
  <si>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</si>
  <si>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</si>
  <si>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2024-04-15</t>
  </si>
  <si>
    <t xml:space="preserve">2024-04-16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</si>
  <si>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</si>
  <si>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</si>
  <si>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</si>
  <si>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</si>
  <si>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</si>
  <si>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</si>
  <si>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</si>
  <si>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</si>
  <si>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</si>
  <si>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</si>
  <si>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</si>
  <si>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</si>
  <si>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</si>
  <si>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</si>
  <si>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</si>
  <si>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</si>
  <si>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</si>
  <si>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</si>
  <si>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</si>
  <si>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</si>
  <si>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</si>
  <si>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</si>
  <si>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</si>
  <si>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</si>
  <si>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</si>
  <si>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</si>
  <si>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</si>
  <si>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</si>
  <si>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</si>
  <si>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</si>
  <si>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</si>
  <si>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</si>
  <si>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</si>
  <si>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</si>
  <si>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</si>
  <si>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</si>
  <si>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</si>
  <si>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</si>
  <si>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</si>
  <si>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</si>
  <si>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</si>
  <si>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</si>
  <si>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</si>
  <si>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2024-06-05</t>
  </si>
  <si>
    <t xml:space="preserve">2024-06-06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</si>
  <si>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</si>
  <si>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</si>
  <si>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</si>
  <si>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</si>
  <si>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</si>
  <si>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</si>
  <si>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</si>
  <si>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</si>
  <si>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</si>
  <si>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</si>
  <si>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</si>
  <si>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</si>
  <si>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</si>
  <si>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</si>
  <si>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</si>
  <si>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</si>
  <si>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</si>
  <si>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</si>
  <si>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</si>
  <si>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</si>
  <si>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</si>
  <si>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</si>
  <si>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</si>
  <si>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</si>
  <si>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</si>
  <si>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</si>
  <si>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</si>
  <si>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</si>
  <si>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</si>
  <si>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</si>
  <si>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2024-07-11</t>
  </si>
  <si>
    <t xml:space="preserve">2024-07-12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</si>
  <si>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</si>
  <si>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</si>
  <si>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</si>
  <si>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</si>
  <si>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</si>
  <si>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</si>
  <si>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</si>
  <si>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</si>
  <si>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2024-07-24</t>
  </si>
  <si>
    <t xml:space="preserve">2024-07-26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</si>
  <si>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</si>
  <si>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</si>
  <si>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</si>
  <si>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</si>
  <si>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</si>
  <si>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</si>
  <si>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</si>
  <si>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</si>
  <si>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2024-08-06</t>
  </si>
  <si>
    <t xml:space="preserve">2024-08-08</t>
  </si>
  <si>
    <t xml:space="preserve">2024-08-10</t>
  </si>
  <si>
    <t xml:space="preserve">2024-08-11</t>
  </si>
  <si>
    <t xml:space="preserve">2024-08-12</t>
  </si>
  <si>
    <t xml:space="preserve">2024-08-15</t>
  </si>
  <si>
    <t xml:space="preserve">2024-08-17</t>
  </si>
  <si>
    <t xml:space="preserve">2024-08-18</t>
  </si>
  <si>
    <t xml:space="preserve">2024-08-19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</si>
  <si>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</si>
  <si>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</si>
  <si>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</si>
  <si>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</si>
  <si>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</si>
  <si>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</si>
  <si>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</si>
  <si>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</si>
  <si>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</si>
  <si>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</si>
  <si>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</si>
  <si>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</si>
  <si>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</si>
  <si>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</si>
  <si>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2024-09-06</t>
  </si>
  <si>
    <t xml:space="preserve">2024-09-07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</si>
  <si>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</si>
  <si>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</si>
  <si>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</si>
  <si>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</si>
  <si>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</si>
  <si>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</si>
  <si>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2024-09-17</t>
  </si>
  <si>
    <t xml:space="preserve">2024-09-18</t>
  </si>
  <si>
    <t xml:space="preserve">2024-09-20</t>
  </si>
  <si>
    <t xml:space="preserve">2024-09-21</t>
  </si>
  <si>
    <t xml:space="preserve">2024-09-23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</si>
  <si>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</si>
  <si>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</si>
  <si>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</si>
  <si>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</si>
  <si>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</si>
  <si>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</si>
  <si>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</si>
  <si>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</si>
  <si>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</si>
  <si>
    <t xml:space="preserve">2024-10-04</t>
  </si>
  <si>
    <t xml:space="preserve">2024-10-07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</si>
  <si>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</si>
  <si>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</si>
  <si>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</si>
  <si>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</si>
  <si>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</si>
  <si>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2024-10-13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</si>
  <si>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</si>
  <si>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</si>
  <si>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</si>
  <si>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</si>
  <si>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</si>
  <si>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2024-10-19</t>
  </si>
  <si>
    <t xml:space="preserve">2024-10-20</t>
  </si>
  <si>
    <t xml:space="preserve">2024-10-21</t>
  </si>
  <si>
    <t xml:space="preserve">2024-10-24</t>
  </si>
  <si>
    <t xml:space="preserve">2024-10-25</t>
  </si>
  <si>
    <t xml:space="preserve">2024-10-27</t>
  </si>
  <si>
    <t xml:space="preserve">2024-10-29</t>
  </si>
  <si>
    <t xml:space="preserve">2024-10-30</t>
  </si>
  <si>
    <t xml:space="preserve">2024-10-31</t>
  </si>
  <si>
    <t xml:space="preserve">2024-11-04</t>
  </si>
  <si>
    <t xml:space="preserve">2024-11-05</t>
  </si>
  <si>
    <t xml:space="preserve">2024-11-06</t>
  </si>
  <si>
    <t xml:space="preserve">2024-11-09</t>
  </si>
  <si>
    <t xml:space="preserve">2024-11-10</t>
  </si>
  <si>
    <t xml:space="preserve">2024-11-11</t>
  </si>
  <si>
    <t xml:space="preserve">2024-11-13</t>
  </si>
  <si>
    <t xml:space="preserve">2024-11-16</t>
  </si>
  <si>
    <t xml:space="preserve">2024-11-18</t>
  </si>
  <si>
    <t xml:space="preserve">2024-11-19</t>
  </si>
  <si>
    <t xml:space="preserve">2024-11-20</t>
  </si>
  <si>
    <t xml:space="preserve">2024-11-23</t>
  </si>
  <si>
    <t xml:space="preserve">2024-11-25</t>
  </si>
  <si>
    <t xml:space="preserve">2024-11-26</t>
  </si>
  <si>
    <t xml:space="preserve">2024-11-28</t>
  </si>
  <si>
    <t xml:space="preserve">2024-11-29</t>
  </si>
  <si>
    <t xml:space="preserve">2024-11-30</t>
  </si>
  <si>
    <t xml:space="preserve">2024-12-01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</si>
  <si>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</si>
  <si>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</si>
  <si>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</si>
  <si>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</si>
  <si>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2024-12-07</t>
  </si>
  <si>
    <t xml:space="preserve">2024-12-08</t>
  </si>
  <si>
    <t xml:space="preserve">2024-12-09</t>
  </si>
  <si>
    <t xml:space="preserve">2024-12-10</t>
  </si>
  <si>
    <t xml:space="preserve">2024-12-11</t>
  </si>
  <si>
    <t xml:space="preserve">2024-12-13</t>
  </si>
  <si>
    <t xml:space="preserve">2024-12-14</t>
  </si>
  <si>
    <t xml:space="preserve">2024-12-15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</si>
  <si>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</si>
  <si>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</si>
  <si>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</si>
  <si>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</si>
  <si>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</si>
  <si>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2024-12-22</t>
  </si>
  <si>
    <t xml:space="preserve">2024-12-24</t>
  </si>
  <si>
    <t xml:space="preserve">2024-12-25</t>
  </si>
  <si>
    <t xml:space="preserve">2024-12-26</t>
  </si>
  <si>
    <t xml:space="preserve">2024-12-28</t>
  </si>
  <si>
    <t xml:space="preserve">2024-12-29</t>
  </si>
  <si>
    <t xml:space="preserve">2024-12-30</t>
  </si>
  <si>
    <t xml:space="preserve">2024-12-31</t>
  </si>
  <si>
    <t xml:space="preserve">Retail Sales Analysis — FY 2024 (Post-Cleaning)</t>
  </si>
  <si>
    <t xml:space="preserve">Portfolio Project | Data Cleaning + Analysis | Excel</t>
  </si>
  <si>
    <t xml:space="preserve">KEY METRICS</t>
  </si>
  <si>
    <t xml:space="preserve">Total Revenue</t>
  </si>
  <si>
    <t xml:space="preserve">Total Orders</t>
  </si>
  <si>
    <t xml:space="preserve">Avg Order Value</t>
  </si>
  <si>
    <t xml:space="preserve">Total Units Sold</t>
  </si>
  <si>
    <t xml:space="preserve">REVENUE BY CATEGORY</t>
  </si>
  <si>
    <t xml:space="preserve">REVENUE BY REGION</t>
  </si>
  <si>
    <t xml:space="preserve">REVENUE BY SALES REP</t>
  </si>
  <si>
    <t xml:space="preserve">Revenue</t>
  </si>
  <si>
    <t xml:space="preserve">Sales Rep</t>
  </si>
  <si>
    <t xml:space="preserve">REVENUE BY PRODUCT</t>
  </si>
  <si>
    <t xml:space="preserve">MONTHLY REVENUE TREND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</si>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</sst>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Dashboard'!C11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Dashboard'!$B$12:$B$14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'Summary Dashboard'!$C$12:$C$14</c:f>
              <c:numCache>
                <c:formatCode>\$#,##0</c:formatCode>
                <c:ptCount val="3"/>
                <c:pt idx="0">
                  <c:v>2134961</c:v>
                </c:pt>
                <c:pt idx="1">
                  <c:v>6386543</c:v>
                </c:pt>
                <c:pt idx="2">
                  <c:v>739902</c:v>
                </c:pt>
              </c:numCache>
            </c:numRef>
          </c:val>
        </c:ser>
        <c:gapWidth val="150"/>
        <c:overlap val="0"/>
        <c:axId val="12009418"/>
        <c:axId val="33220101"/>
      </c:barChart>
      <c:catAx>
        <c:axId val="12009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220101"/>
        <c:crosses val="autoZero"/>
        <c:auto val="1"/>
        <c:lblAlgn val="ctr"/>
        <c:lblOffset val="100"/>
        <c:noMultiLvlLbl val="0"/>
      </c:catAx>
      <c:valAx>
        <c:axId val="33220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0094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'Summary Dashboard'!F11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'Summary Dashboard'!$E$12:$E$15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'Summary Dashboard'!$F$12:$F$15</c:f>
              <c:numCache>
                <c:formatCode>\$#,##0</c:formatCode>
                <c:ptCount val="4"/>
                <c:pt idx="0">
                  <c:v>2372143</c:v>
                </c:pt>
                <c:pt idx="1">
                  <c:v>2480769</c:v>
                </c:pt>
                <c:pt idx="2">
                  <c:v>2341769</c:v>
                </c:pt>
                <c:pt idx="3">
                  <c:v>2066725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'Summary Dashboard'!C22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Dashboard'!$B$23:$B$32</c:f>
              <c:strCache>
                <c:ptCount val="10"/>
                <c:pt idx="0">
                  <c:v>Bluetooth Speaker</c:v>
                </c:pt>
                <c:pt idx="1">
                  <c:v>Cable Organizer</c:v>
                </c:pt>
                <c:pt idx="2">
                  <c:v>Desk Lamp</c:v>
                </c:pt>
                <c:pt idx="3">
                  <c:v>Laptop Stand</c:v>
                </c:pt>
                <c:pt idx="4">
                  <c:v>Mechanical Keyboard</c:v>
                </c:pt>
                <c:pt idx="5">
                  <c:v>Monitor 24in</c:v>
                </c:pt>
                <c:pt idx="6">
                  <c:v>Power Bank</c:v>
                </c:pt>
                <c:pt idx="7">
                  <c:v>USB-C Hub</c:v>
                </c:pt>
                <c:pt idx="8">
                  <c:v>Webcam HD</c:v>
                </c:pt>
                <c:pt idx="9">
                  <c:v>Wireless Mouse</c:v>
                </c:pt>
              </c:strCache>
            </c:strRef>
          </c:cat>
          <c:val>
            <c:numRef>
              <c:f>'Summary Dashboard'!$C$23:$C$32</c:f>
              <c:numCache>
                <c:formatCode>\$#,##0</c:formatCode>
                <c:ptCount val="10"/>
                <c:pt idx="0">
                  <c:v>919289</c:v>
                </c:pt>
                <c:pt idx="1">
                  <c:v>126477</c:v>
                </c:pt>
                <c:pt idx="2">
                  <c:v>235563</c:v>
                </c:pt>
                <c:pt idx="3">
                  <c:v>504339</c:v>
                </c:pt>
                <c:pt idx="4">
                  <c:v>1129548</c:v>
                </c:pt>
                <c:pt idx="5">
                  <c:v>4067548</c:v>
                </c:pt>
                <c:pt idx="6">
                  <c:v>562125</c:v>
                </c:pt>
                <c:pt idx="7">
                  <c:v>565065</c:v>
                </c:pt>
                <c:pt idx="8">
                  <c:v>837581</c:v>
                </c:pt>
                <c:pt idx="9">
                  <c:v>313871</c:v>
                </c:pt>
              </c:numCache>
            </c:numRef>
          </c:val>
        </c:ser>
        <c:gapWidth val="150"/>
        <c:overlap val="0"/>
        <c:axId val="45884745"/>
        <c:axId val="82395752"/>
      </c:barChart>
      <c:catAx>
        <c:axId val="458847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395752"/>
        <c:crosses val="autoZero"/>
        <c:auto val="1"/>
        <c:lblAlgn val="ctr"/>
        <c:lblOffset val="100"/>
        <c:noMultiLvlLbl val="0"/>
      </c:catAx>
      <c:valAx>
        <c:axId val="82395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84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Trend'!$B$4:$B$15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Trend'!$C$4:$C$15</c:f>
              <c:numCache>
                <c:formatCode>\$#,##0</c:formatCode>
                <c:ptCount val="12"/>
                <c:pt idx="0">
                  <c:v>921922</c:v>
                </c:pt>
                <c:pt idx="1">
                  <c:v>673239</c:v>
                </c:pt>
                <c:pt idx="2">
                  <c:v>946322</c:v>
                </c:pt>
                <c:pt idx="3">
                  <c:v>945430</c:v>
                </c:pt>
                <c:pt idx="4">
                  <c:v>715642</c:v>
                </c:pt>
                <c:pt idx="5">
                  <c:v>601016</c:v>
                </c:pt>
                <c:pt idx="6">
                  <c:v>746642</c:v>
                </c:pt>
                <c:pt idx="7">
                  <c:v>896131</c:v>
                </c:pt>
                <c:pt idx="8">
                  <c:v>660964</c:v>
                </c:pt>
                <c:pt idx="9">
                  <c:v>824132</c:v>
                </c:pt>
                <c:pt idx="10">
                  <c:v>542940</c:v>
                </c:pt>
                <c:pt idx="11">
                  <c:v>787026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5887436"/>
        <c:axId val="97344491"/>
      </c:lineChart>
      <c:catAx>
        <c:axId val="458874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344491"/>
        <c:crosses val="autoZero"/>
        <c:auto val="1"/>
        <c:lblAlgn val="ctr"/>
        <c:lblOffset val="100"/>
        <c:noMultiLvlLbl val="0"/>
      </c:catAx>
      <c:valAx>
        <c:axId val="973444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874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26</xdr:row>
      <xdr:rowOff>131040</xdr:rowOff>
    </xdr:from>
    <xdr:to>
      <xdr:col>5</xdr:col>
      <xdr:colOff>865800</xdr:colOff>
      <xdr:row>39</xdr:row>
      <xdr:rowOff>174240</xdr:rowOff>
    </xdr:to>
    <xdr:graphicFrame>
      <xdr:nvGraphicFramePr>
        <xdr:cNvPr id="0" name="Chart 1"/>
        <xdr:cNvGraphicFramePr/>
      </xdr:nvGraphicFramePr>
      <xdr:xfrm>
        <a:off x="211320" y="5143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26</xdr:row>
      <xdr:rowOff>131040</xdr:rowOff>
    </xdr:from>
    <xdr:to>
      <xdr:col>12</xdr:col>
      <xdr:colOff>229680</xdr:colOff>
      <xdr:row>39</xdr:row>
      <xdr:rowOff>174240</xdr:rowOff>
    </xdr:to>
    <xdr:graphicFrame>
      <xdr:nvGraphicFramePr>
        <xdr:cNvPr id="1" name="Chart 2"/>
        <xdr:cNvGraphicFramePr/>
      </xdr:nvGraphicFramePr>
      <xdr:xfrm>
        <a:off x="4863600" y="51436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43</xdr:row>
      <xdr:rowOff>130680</xdr:rowOff>
    </xdr:from>
    <xdr:to>
      <xdr:col>7</xdr:col>
      <xdr:colOff>387360</xdr:colOff>
      <xdr:row>60</xdr:row>
      <xdr:rowOff>131760</xdr:rowOff>
    </xdr:to>
    <xdr:graphicFrame>
      <xdr:nvGraphicFramePr>
        <xdr:cNvPr id="2" name="Chart 3"/>
        <xdr:cNvGraphicFramePr/>
      </xdr:nvGraphicFramePr>
      <xdr:xfrm>
        <a:off x="211320" y="83818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15</xdr:col>
      <xdr:colOff>473040</xdr:colOff>
      <xdr:row>20</xdr:row>
      <xdr:rowOff>170640</xdr:rowOff>
    </xdr:to>
    <xdr:graphicFrame>
      <xdr:nvGraphicFramePr>
        <xdr:cNvPr id="3" name="Chart 1"/>
        <xdr:cNvGraphicFramePr/>
      </xdr:nvGraphicFramePr>
      <xdr:xfrm>
        <a:off x="3055680" y="3808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4"/>
      <c r="G4" s="3" t="n">
        <v>14</v>
      </c>
      <c r="H4" s="3" t="n">
        <v>1299</v>
      </c>
    </row>
    <row r="5" customFormat="false" ht="15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3" t="s">
        <v>18</v>
      </c>
      <c r="G5" s="3" t="n">
        <v>1</v>
      </c>
      <c r="H5" s="3" t="n">
        <v>2499</v>
      </c>
    </row>
    <row r="6" customFormat="false" ht="15" hidden="false" customHeight="false" outlineLevel="0" collapsed="false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n">
        <v>14</v>
      </c>
      <c r="H6" s="3" t="n">
        <v>699</v>
      </c>
    </row>
    <row r="7" customFormat="false" ht="15" hidden="false" customHeight="false" outlineLevel="0" collapsed="false">
      <c r="A7" s="3" t="s">
        <v>25</v>
      </c>
      <c r="B7" s="3" t="s">
        <v>26</v>
      </c>
      <c r="C7" s="3" t="s">
        <v>27</v>
      </c>
      <c r="D7" s="3" t="s">
        <v>22</v>
      </c>
      <c r="E7" s="3" t="s">
        <v>23</v>
      </c>
      <c r="F7" s="3" t="s">
        <v>28</v>
      </c>
      <c r="G7" s="4"/>
      <c r="H7" s="3" t="n">
        <v>899</v>
      </c>
    </row>
    <row r="8" customFormat="false" ht="15" hidden="false" customHeight="false" outlineLevel="0" collapsed="false">
      <c r="A8" s="3" t="s">
        <v>29</v>
      </c>
      <c r="B8" s="3" t="s">
        <v>30</v>
      </c>
      <c r="C8" s="3" t="s">
        <v>31</v>
      </c>
      <c r="D8" s="3" t="s">
        <v>32</v>
      </c>
      <c r="E8" s="3" t="s">
        <v>13</v>
      </c>
      <c r="F8" s="3" t="s">
        <v>18</v>
      </c>
      <c r="G8" s="3" t="n">
        <v>12</v>
      </c>
      <c r="H8" s="3" t="n">
        <v>1499</v>
      </c>
    </row>
    <row r="9" customFormat="false" ht="15" hidden="false" customHeight="false" outlineLevel="0" collapsed="false">
      <c r="A9" s="3" t="s">
        <v>33</v>
      </c>
      <c r="B9" s="3" t="s">
        <v>34</v>
      </c>
      <c r="C9" s="3" t="s">
        <v>27</v>
      </c>
      <c r="D9" s="3" t="s">
        <v>22</v>
      </c>
      <c r="E9" s="3" t="s">
        <v>23</v>
      </c>
      <c r="F9" s="3" t="s">
        <v>35</v>
      </c>
      <c r="G9" s="3" t="n">
        <v>13</v>
      </c>
      <c r="H9" s="3" t="n">
        <v>899</v>
      </c>
    </row>
    <row r="10" customFormat="false" ht="15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32</v>
      </c>
      <c r="E10" s="3" t="s">
        <v>13</v>
      </c>
      <c r="F10" s="3" t="s">
        <v>18</v>
      </c>
      <c r="G10" s="3" t="n">
        <v>2</v>
      </c>
      <c r="H10" s="3" t="n">
        <v>1999</v>
      </c>
    </row>
    <row r="11" customFormat="false" ht="15" hidden="false" customHeight="false" outlineLevel="0" collapsed="false">
      <c r="A11" s="3" t="s">
        <v>39</v>
      </c>
      <c r="B11" s="3" t="s">
        <v>40</v>
      </c>
      <c r="C11" s="3" t="s">
        <v>21</v>
      </c>
      <c r="D11" s="3" t="s">
        <v>22</v>
      </c>
      <c r="E11" s="3" t="s">
        <v>41</v>
      </c>
      <c r="F11" s="3" t="s">
        <v>42</v>
      </c>
      <c r="G11" s="3" t="n">
        <v>12</v>
      </c>
      <c r="H11" s="3" t="n">
        <v>699</v>
      </c>
    </row>
    <row r="12" customFormat="false" ht="15" hidden="false" customHeight="false" outlineLevel="0" collapsed="false">
      <c r="A12" s="3" t="s">
        <v>43</v>
      </c>
      <c r="B12" s="3" t="s">
        <v>44</v>
      </c>
      <c r="C12" s="3" t="s">
        <v>45</v>
      </c>
      <c r="D12" s="3" t="s">
        <v>12</v>
      </c>
      <c r="E12" s="3" t="s">
        <v>23</v>
      </c>
      <c r="F12" s="3" t="s">
        <v>24</v>
      </c>
      <c r="G12" s="4"/>
      <c r="H12" s="3" t="n">
        <v>499</v>
      </c>
    </row>
    <row r="13" customFormat="false" ht="15" hidden="false" customHeight="false" outlineLevel="0" collapsed="false">
      <c r="A13" s="3" t="s">
        <v>46</v>
      </c>
      <c r="B13" s="3" t="s">
        <v>47</v>
      </c>
      <c r="C13" s="3" t="s">
        <v>45</v>
      </c>
      <c r="D13" s="3" t="s">
        <v>12</v>
      </c>
      <c r="E13" s="3" t="s">
        <v>48</v>
      </c>
      <c r="F13" s="3" t="s">
        <v>18</v>
      </c>
      <c r="G13" s="3" t="n">
        <v>11</v>
      </c>
      <c r="H13" s="3" t="n">
        <v>499</v>
      </c>
    </row>
    <row r="14" customFormat="false" ht="15" hidden="false" customHeight="false" outlineLevel="0" collapsed="false">
      <c r="A14" s="3" t="s">
        <v>49</v>
      </c>
      <c r="B14" s="3" t="s">
        <v>50</v>
      </c>
      <c r="C14" s="3" t="s">
        <v>27</v>
      </c>
      <c r="D14" s="3" t="s">
        <v>22</v>
      </c>
      <c r="E14" s="3" t="s">
        <v>23</v>
      </c>
      <c r="F14" s="3" t="s">
        <v>35</v>
      </c>
      <c r="G14" s="3" t="n">
        <v>14</v>
      </c>
      <c r="H14" s="3" t="n">
        <v>899</v>
      </c>
    </row>
    <row r="15" customFormat="false" ht="15" hidden="false" customHeight="false" outlineLevel="0" collapsed="false">
      <c r="A15" s="3" t="s">
        <v>51</v>
      </c>
      <c r="B15" s="3" t="s">
        <v>52</v>
      </c>
      <c r="C15" s="3" t="s">
        <v>45</v>
      </c>
      <c r="D15" s="3" t="s">
        <v>12</v>
      </c>
      <c r="E15" s="3" t="s">
        <v>13</v>
      </c>
      <c r="F15" s="3" t="s">
        <v>28</v>
      </c>
      <c r="G15" s="3" t="n">
        <v>10</v>
      </c>
      <c r="H15" s="3" t="n">
        <v>499</v>
      </c>
    </row>
    <row r="16" customFormat="false" ht="15" hidden="false" customHeight="false" outlineLevel="0" collapsed="false">
      <c r="A16" s="3" t="s">
        <v>53</v>
      </c>
      <c r="B16" s="3" t="s">
        <v>54</v>
      </c>
      <c r="C16" s="3" t="s">
        <v>55</v>
      </c>
      <c r="D16" s="3" t="s">
        <v>12</v>
      </c>
      <c r="E16" s="3" t="s">
        <v>56</v>
      </c>
      <c r="F16" s="3" t="s">
        <v>42</v>
      </c>
      <c r="G16" s="3" t="n">
        <v>3</v>
      </c>
      <c r="H16" s="3" t="n">
        <v>299</v>
      </c>
    </row>
    <row r="17" customFormat="false" ht="15" hidden="false" customHeight="false" outlineLevel="0" collapsed="false">
      <c r="A17" s="3" t="s">
        <v>57</v>
      </c>
      <c r="B17" s="3" t="s">
        <v>58</v>
      </c>
      <c r="C17" s="3" t="s">
        <v>31</v>
      </c>
      <c r="D17" s="3" t="s">
        <v>32</v>
      </c>
      <c r="E17" s="3" t="s">
        <v>56</v>
      </c>
      <c r="F17" s="3" t="s">
        <v>28</v>
      </c>
      <c r="G17" s="3" t="n">
        <v>12</v>
      </c>
      <c r="H17" s="3" t="n">
        <v>1499</v>
      </c>
    </row>
    <row r="18" customFormat="false" ht="15" hidden="false" customHeight="false" outlineLevel="0" collapsed="false">
      <c r="A18" s="3" t="s">
        <v>59</v>
      </c>
      <c r="B18" s="3" t="s">
        <v>60</v>
      </c>
      <c r="C18" s="3" t="s">
        <v>21</v>
      </c>
      <c r="D18" s="3" t="s">
        <v>22</v>
      </c>
      <c r="E18" s="3" t="s">
        <v>23</v>
      </c>
      <c r="F18" s="3" t="s">
        <v>42</v>
      </c>
      <c r="G18" s="3" t="n">
        <v>11</v>
      </c>
      <c r="H18" s="3" t="n">
        <v>699</v>
      </c>
    </row>
    <row r="19" customFormat="false" ht="15" hidden="false" customHeight="false" outlineLevel="0" collapsed="false">
      <c r="A19" s="3" t="s">
        <v>61</v>
      </c>
      <c r="B19" s="3" t="s">
        <v>62</v>
      </c>
      <c r="C19" s="3" t="s">
        <v>55</v>
      </c>
      <c r="D19" s="3" t="s">
        <v>12</v>
      </c>
      <c r="E19" s="3" t="s">
        <v>41</v>
      </c>
      <c r="F19" s="3" t="s">
        <v>24</v>
      </c>
      <c r="G19" s="3" t="n">
        <v>12</v>
      </c>
      <c r="H19" s="3" t="n">
        <v>299</v>
      </c>
    </row>
    <row r="20" customFormat="false" ht="15" hidden="false" customHeight="false" outlineLevel="0" collapsed="false">
      <c r="A20" s="3" t="s">
        <v>63</v>
      </c>
      <c r="B20" s="3" t="s">
        <v>64</v>
      </c>
      <c r="C20" s="3" t="s">
        <v>16</v>
      </c>
      <c r="D20" s="3" t="s">
        <v>12</v>
      </c>
      <c r="E20" s="3" t="s">
        <v>23</v>
      </c>
      <c r="F20" s="3" t="s">
        <v>42</v>
      </c>
      <c r="G20" s="3" t="n">
        <v>13</v>
      </c>
      <c r="H20" s="3" t="n">
        <v>2499</v>
      </c>
    </row>
    <row r="21" customFormat="false" ht="15" hidden="false" customHeight="false" outlineLevel="0" collapsed="false">
      <c r="A21" s="3" t="s">
        <v>65</v>
      </c>
      <c r="B21" s="3" t="s">
        <v>66</v>
      </c>
      <c r="C21" s="3" t="s">
        <v>21</v>
      </c>
      <c r="D21" s="3" t="s">
        <v>22</v>
      </c>
      <c r="E21" s="3" t="s">
        <v>41</v>
      </c>
      <c r="F21" s="3" t="s">
        <v>24</v>
      </c>
      <c r="G21" s="3" t="n">
        <v>11</v>
      </c>
      <c r="H21" s="3" t="n">
        <v>699</v>
      </c>
    </row>
    <row r="22" customFormat="false" ht="15" hidden="false" customHeight="false" outlineLevel="0" collapsed="false">
      <c r="A22" s="3" t="s">
        <v>67</v>
      </c>
      <c r="B22" s="3" t="s">
        <v>68</v>
      </c>
      <c r="C22" s="3" t="s">
        <v>55</v>
      </c>
      <c r="D22" s="3" t="s">
        <v>12</v>
      </c>
      <c r="E22" s="3" t="s">
        <v>56</v>
      </c>
      <c r="F22" s="3" t="s">
        <v>35</v>
      </c>
      <c r="G22" s="3" t="n">
        <v>13</v>
      </c>
      <c r="H22" s="3" t="n">
        <v>299</v>
      </c>
    </row>
    <row r="23" customFormat="false" ht="15" hidden="false" customHeight="false" outlineLevel="0" collapsed="false">
      <c r="A23" s="3" t="s">
        <v>69</v>
      </c>
      <c r="B23" s="3" t="s">
        <v>70</v>
      </c>
      <c r="C23" s="3" t="s">
        <v>16</v>
      </c>
      <c r="D23" s="3" t="s">
        <v>12</v>
      </c>
      <c r="E23" s="3" t="s">
        <v>13</v>
      </c>
      <c r="F23" s="3" t="s">
        <v>28</v>
      </c>
      <c r="G23" s="3" t="n">
        <v>6</v>
      </c>
      <c r="H23" s="3" t="n">
        <v>2499</v>
      </c>
    </row>
    <row r="24" customFormat="false" ht="15" hidden="false" customHeight="false" outlineLevel="0" collapsed="false">
      <c r="A24" s="3" t="s">
        <v>71</v>
      </c>
      <c r="B24" s="3" t="s">
        <v>72</v>
      </c>
      <c r="C24" s="3" t="s">
        <v>31</v>
      </c>
      <c r="D24" s="3" t="s">
        <v>32</v>
      </c>
      <c r="E24" s="3" t="s">
        <v>41</v>
      </c>
      <c r="F24" s="3" t="s">
        <v>24</v>
      </c>
      <c r="G24" s="3" t="n">
        <v>2</v>
      </c>
      <c r="H24" s="3" t="n">
        <v>1499</v>
      </c>
    </row>
    <row r="25" customFormat="false" ht="15" hidden="false" customHeight="false" outlineLevel="0" collapsed="false">
      <c r="A25" s="3" t="s">
        <v>73</v>
      </c>
      <c r="B25" s="3" t="s">
        <v>74</v>
      </c>
      <c r="C25" s="3" t="s">
        <v>75</v>
      </c>
      <c r="D25" s="3" t="s">
        <v>32</v>
      </c>
      <c r="E25" s="3" t="s">
        <v>56</v>
      </c>
      <c r="F25" s="3" t="s">
        <v>42</v>
      </c>
      <c r="G25" s="3" t="n">
        <v>14</v>
      </c>
      <c r="H25" s="3" t="n">
        <v>8999</v>
      </c>
    </row>
    <row r="26" customFormat="false" ht="15" hidden="false" customHeight="false" outlineLevel="0" collapsed="false">
      <c r="A26" s="3" t="s">
        <v>76</v>
      </c>
      <c r="B26" s="3" t="s">
        <v>77</v>
      </c>
      <c r="C26" s="3" t="s">
        <v>27</v>
      </c>
      <c r="D26" s="3" t="s">
        <v>22</v>
      </c>
      <c r="E26" s="3" t="s">
        <v>13</v>
      </c>
      <c r="F26" s="3" t="s">
        <v>35</v>
      </c>
      <c r="G26" s="3" t="n">
        <v>14</v>
      </c>
      <c r="H26" s="3" t="n">
        <v>899</v>
      </c>
    </row>
    <row r="27" customFormat="false" ht="15" hidden="false" customHeight="false" outlineLevel="0" collapsed="false">
      <c r="A27" s="3" t="s">
        <v>78</v>
      </c>
      <c r="B27" s="3" t="s">
        <v>79</v>
      </c>
      <c r="C27" s="3" t="s">
        <v>27</v>
      </c>
      <c r="D27" s="3" t="s">
        <v>22</v>
      </c>
      <c r="E27" s="3" t="s">
        <v>13</v>
      </c>
      <c r="F27" s="3" t="s">
        <v>35</v>
      </c>
      <c r="G27" s="3" t="n">
        <v>2</v>
      </c>
      <c r="H27" s="3" t="n">
        <v>899</v>
      </c>
    </row>
    <row r="28" customFormat="false" ht="15" hidden="false" customHeight="false" outlineLevel="0" collapsed="false">
      <c r="A28" s="3" t="s">
        <v>80</v>
      </c>
      <c r="B28" s="3" t="s">
        <v>77</v>
      </c>
      <c r="C28" s="3" t="s">
        <v>27</v>
      </c>
      <c r="D28" s="3" t="s">
        <v>22</v>
      </c>
      <c r="E28" s="3" t="s">
        <v>13</v>
      </c>
      <c r="F28" s="3" t="s">
        <v>35</v>
      </c>
      <c r="G28" s="3" t="n">
        <v>14</v>
      </c>
      <c r="H28" s="3" t="n">
        <v>899</v>
      </c>
    </row>
    <row r="29" customFormat="false" ht="15" hidden="false" customHeight="false" outlineLevel="0" collapsed="false">
      <c r="A29" s="3" t="s">
        <v>81</v>
      </c>
      <c r="B29" s="3" t="s">
        <v>82</v>
      </c>
      <c r="C29" s="3" t="s">
        <v>16</v>
      </c>
      <c r="D29" s="3" t="s">
        <v>12</v>
      </c>
      <c r="E29" s="3" t="s">
        <v>56</v>
      </c>
      <c r="F29" s="3" t="s">
        <v>18</v>
      </c>
      <c r="G29" s="3" t="n">
        <v>3</v>
      </c>
      <c r="H29" s="3" t="n">
        <v>2499</v>
      </c>
    </row>
    <row r="30" customFormat="false" ht="15" hidden="false" customHeight="false" outlineLevel="0" collapsed="false">
      <c r="A30" s="3" t="s">
        <v>83</v>
      </c>
      <c r="B30" s="3" t="s">
        <v>84</v>
      </c>
      <c r="C30" s="3" t="s">
        <v>31</v>
      </c>
      <c r="D30" s="3" t="s">
        <v>32</v>
      </c>
      <c r="E30" s="3" t="s">
        <v>56</v>
      </c>
      <c r="F30" s="3" t="s">
        <v>28</v>
      </c>
      <c r="G30" s="3" t="n">
        <v>8</v>
      </c>
      <c r="H30" s="3" t="n">
        <v>1499</v>
      </c>
    </row>
    <row r="31" customFormat="false" ht="15" hidden="false" customHeight="false" outlineLevel="0" collapsed="false">
      <c r="A31" s="3" t="s">
        <v>85</v>
      </c>
      <c r="B31" s="3" t="s">
        <v>86</v>
      </c>
      <c r="C31" s="3" t="s">
        <v>75</v>
      </c>
      <c r="D31" s="3" t="s">
        <v>32</v>
      </c>
      <c r="E31" s="3" t="s">
        <v>23</v>
      </c>
      <c r="F31" s="3" t="s">
        <v>28</v>
      </c>
      <c r="G31" s="3" t="n">
        <v>4</v>
      </c>
      <c r="H31" s="3" t="n">
        <v>8999</v>
      </c>
    </row>
    <row r="32" customFormat="false" ht="15" hidden="false" customHeight="false" outlineLevel="0" collapsed="false">
      <c r="A32" s="3" t="s">
        <v>87</v>
      </c>
      <c r="B32" s="3" t="s">
        <v>88</v>
      </c>
      <c r="C32" s="3" t="s">
        <v>16</v>
      </c>
      <c r="D32" s="3" t="s">
        <v>12</v>
      </c>
      <c r="E32" s="3" t="s">
        <v>41</v>
      </c>
      <c r="F32" s="3" t="s">
        <v>28</v>
      </c>
      <c r="G32" s="3" t="n">
        <v>11</v>
      </c>
      <c r="H32" s="3" t="n">
        <v>2499</v>
      </c>
    </row>
    <row r="33" customFormat="false" ht="15" hidden="false" customHeight="false" outlineLevel="0" collapsed="false">
      <c r="A33" s="3" t="s">
        <v>89</v>
      </c>
      <c r="B33" s="3" t="s">
        <v>90</v>
      </c>
      <c r="C33" s="3" t="s">
        <v>21</v>
      </c>
      <c r="D33" s="3" t="s">
        <v>22</v>
      </c>
      <c r="E33" s="3" t="s">
        <v>23</v>
      </c>
      <c r="F33" s="3" t="s">
        <v>28</v>
      </c>
      <c r="G33" s="3" t="n">
        <v>1</v>
      </c>
      <c r="H33" s="3" t="n">
        <v>699</v>
      </c>
    </row>
    <row r="34" customFormat="false" ht="15" hidden="false" customHeight="false" outlineLevel="0" collapsed="false">
      <c r="A34" s="3" t="s">
        <v>91</v>
      </c>
      <c r="B34" s="3" t="s">
        <v>92</v>
      </c>
      <c r="C34" s="3" t="s">
        <v>93</v>
      </c>
      <c r="D34" s="3" t="s">
        <v>12</v>
      </c>
      <c r="E34" s="3" t="s">
        <v>13</v>
      </c>
      <c r="F34" s="3" t="s">
        <v>28</v>
      </c>
      <c r="G34" s="3" t="n">
        <v>7</v>
      </c>
      <c r="H34" s="3" t="n">
        <v>1299</v>
      </c>
    </row>
    <row r="35" customFormat="false" ht="15" hidden="false" customHeight="false" outlineLevel="0" collapsed="false">
      <c r="A35" s="3" t="s">
        <v>94</v>
      </c>
      <c r="B35" s="3" t="s">
        <v>95</v>
      </c>
      <c r="C35" s="3" t="s">
        <v>93</v>
      </c>
      <c r="D35" s="3" t="s">
        <v>12</v>
      </c>
      <c r="E35" s="3" t="s">
        <v>41</v>
      </c>
      <c r="F35" s="3" t="s">
        <v>42</v>
      </c>
      <c r="G35" s="3" t="n">
        <v>5</v>
      </c>
      <c r="H35" s="3" t="n">
        <v>1299</v>
      </c>
    </row>
    <row r="36" customFormat="false" ht="15" hidden="false" customHeight="false" outlineLevel="0" collapsed="false">
      <c r="A36" s="3" t="s">
        <v>96</v>
      </c>
      <c r="B36" s="3" t="s">
        <v>40</v>
      </c>
      <c r="C36" s="3" t="s">
        <v>75</v>
      </c>
      <c r="D36" s="3" t="s">
        <v>32</v>
      </c>
      <c r="E36" s="3" t="s">
        <v>23</v>
      </c>
      <c r="F36" s="3" t="s">
        <v>24</v>
      </c>
      <c r="G36" s="3" t="n">
        <v>11</v>
      </c>
      <c r="H36" s="3" t="n">
        <v>8999</v>
      </c>
    </row>
    <row r="37" customFormat="false" ht="15" hidden="false" customHeight="false" outlineLevel="0" collapsed="false">
      <c r="A37" s="3" t="s">
        <v>97</v>
      </c>
      <c r="B37" s="3" t="s">
        <v>98</v>
      </c>
      <c r="C37" s="3" t="s">
        <v>55</v>
      </c>
      <c r="D37" s="3" t="s">
        <v>12</v>
      </c>
      <c r="E37" s="3" t="s">
        <v>56</v>
      </c>
      <c r="F37" s="3" t="s">
        <v>35</v>
      </c>
      <c r="G37" s="3" t="n">
        <v>6</v>
      </c>
      <c r="H37" s="3" t="n">
        <v>299</v>
      </c>
    </row>
    <row r="38" customFormat="false" ht="15" hidden="false" customHeight="false" outlineLevel="0" collapsed="false">
      <c r="A38" s="3" t="s">
        <v>99</v>
      </c>
      <c r="B38" s="3" t="s">
        <v>100</v>
      </c>
      <c r="C38" s="3" t="s">
        <v>16</v>
      </c>
      <c r="D38" s="3" t="s">
        <v>12</v>
      </c>
      <c r="E38" s="3" t="s">
        <v>41</v>
      </c>
      <c r="F38" s="3" t="s">
        <v>28</v>
      </c>
      <c r="G38" s="3" t="n">
        <v>4</v>
      </c>
      <c r="H38" s="3" t="n">
        <v>2499</v>
      </c>
    </row>
    <row r="39" customFormat="false" ht="15" hidden="false" customHeight="false" outlineLevel="0" collapsed="false">
      <c r="A39" s="3" t="s">
        <v>101</v>
      </c>
      <c r="B39" s="3" t="s">
        <v>102</v>
      </c>
      <c r="C39" s="3" t="s">
        <v>16</v>
      </c>
      <c r="D39" s="3" t="s">
        <v>12</v>
      </c>
      <c r="E39" s="3" t="s">
        <v>56</v>
      </c>
      <c r="F39" s="3" t="s">
        <v>18</v>
      </c>
      <c r="G39" s="3" t="n">
        <v>2</v>
      </c>
      <c r="H39" s="3" t="n">
        <v>2499</v>
      </c>
    </row>
    <row r="40" customFormat="false" ht="15" hidden="false" customHeight="false" outlineLevel="0" collapsed="false">
      <c r="A40" s="3" t="s">
        <v>103</v>
      </c>
      <c r="B40" s="3" t="s">
        <v>104</v>
      </c>
      <c r="C40" s="3" t="s">
        <v>105</v>
      </c>
      <c r="D40" s="3" t="s">
        <v>32</v>
      </c>
      <c r="E40" s="3" t="s">
        <v>23</v>
      </c>
      <c r="F40" s="3" t="s">
        <v>18</v>
      </c>
      <c r="G40" s="3" t="n">
        <v>2</v>
      </c>
      <c r="H40" s="3" t="n">
        <v>1799</v>
      </c>
    </row>
    <row r="41" customFormat="false" ht="15" hidden="false" customHeight="false" outlineLevel="0" collapsed="false">
      <c r="A41" s="3" t="s">
        <v>106</v>
      </c>
      <c r="B41" s="3" t="s">
        <v>37</v>
      </c>
      <c r="C41" s="3" t="s">
        <v>27</v>
      </c>
      <c r="D41" s="3" t="s">
        <v>22</v>
      </c>
      <c r="E41" s="3" t="s">
        <v>41</v>
      </c>
      <c r="F41" s="3" t="s">
        <v>24</v>
      </c>
      <c r="G41" s="3" t="n">
        <v>5</v>
      </c>
      <c r="H41" s="3" t="n">
        <v>899</v>
      </c>
    </row>
    <row r="42" customFormat="false" ht="15" hidden="false" customHeight="false" outlineLevel="0" collapsed="false">
      <c r="A42" s="3" t="s">
        <v>107</v>
      </c>
      <c r="B42" s="3" t="s">
        <v>108</v>
      </c>
      <c r="C42" s="3" t="s">
        <v>27</v>
      </c>
      <c r="D42" s="3" t="s">
        <v>22</v>
      </c>
      <c r="E42" s="3" t="s">
        <v>56</v>
      </c>
      <c r="F42" s="3" t="s">
        <v>35</v>
      </c>
      <c r="G42" s="3" t="n">
        <v>12</v>
      </c>
      <c r="H42" s="3" t="n">
        <v>899</v>
      </c>
    </row>
    <row r="43" customFormat="false" ht="15" hidden="false" customHeight="false" outlineLevel="0" collapsed="false">
      <c r="A43" s="3" t="s">
        <v>109</v>
      </c>
      <c r="B43" s="3" t="s">
        <v>110</v>
      </c>
      <c r="C43" s="3" t="s">
        <v>31</v>
      </c>
      <c r="D43" s="3" t="s">
        <v>32</v>
      </c>
      <c r="E43" s="3" t="s">
        <v>41</v>
      </c>
      <c r="F43" s="3" t="s">
        <v>42</v>
      </c>
      <c r="G43" s="3" t="n">
        <v>9</v>
      </c>
      <c r="H43" s="3" t="n">
        <v>1499</v>
      </c>
    </row>
    <row r="44" customFormat="false" ht="15" hidden="false" customHeight="false" outlineLevel="0" collapsed="false">
      <c r="A44" s="3" t="s">
        <v>111</v>
      </c>
      <c r="B44" s="3" t="s">
        <v>112</v>
      </c>
      <c r="C44" s="3" t="s">
        <v>75</v>
      </c>
      <c r="D44" s="3" t="s">
        <v>32</v>
      </c>
      <c r="E44" s="3" t="s">
        <v>113</v>
      </c>
      <c r="F44" s="3" t="s">
        <v>28</v>
      </c>
      <c r="G44" s="3" t="n">
        <v>3</v>
      </c>
      <c r="H44" s="3" t="n">
        <v>8999</v>
      </c>
    </row>
    <row r="45" customFormat="false" ht="15" hidden="false" customHeight="false" outlineLevel="0" collapsed="false">
      <c r="A45" s="3" t="s">
        <v>114</v>
      </c>
      <c r="B45" s="3" t="s">
        <v>115</v>
      </c>
      <c r="C45" s="3" t="s">
        <v>16</v>
      </c>
      <c r="D45" s="3" t="s">
        <v>12</v>
      </c>
      <c r="E45" s="3" t="s">
        <v>23</v>
      </c>
      <c r="F45" s="3" t="s">
        <v>42</v>
      </c>
      <c r="G45" s="3" t="n">
        <v>13</v>
      </c>
      <c r="H45" s="3" t="n">
        <v>2499</v>
      </c>
    </row>
    <row r="46" customFormat="false" ht="15" hidden="false" customHeight="false" outlineLevel="0" collapsed="false">
      <c r="A46" s="3" t="s">
        <v>116</v>
      </c>
      <c r="B46" s="3" t="s">
        <v>117</v>
      </c>
      <c r="C46" s="3" t="s">
        <v>27</v>
      </c>
      <c r="D46" s="3" t="s">
        <v>22</v>
      </c>
      <c r="E46" s="3" t="s">
        <v>41</v>
      </c>
      <c r="F46" s="3" t="s">
        <v>35</v>
      </c>
      <c r="G46" s="3" t="n">
        <v>8</v>
      </c>
      <c r="H46" s="3" t="n">
        <v>899</v>
      </c>
    </row>
    <row r="47" customFormat="false" ht="15" hidden="false" customHeight="false" outlineLevel="0" collapsed="false">
      <c r="A47" s="3" t="s">
        <v>118</v>
      </c>
      <c r="B47" s="3" t="s">
        <v>119</v>
      </c>
      <c r="C47" s="3" t="s">
        <v>45</v>
      </c>
      <c r="D47" s="3" t="s">
        <v>12</v>
      </c>
      <c r="E47" s="3" t="s">
        <v>56</v>
      </c>
      <c r="F47" s="3" t="s">
        <v>35</v>
      </c>
      <c r="G47" s="3" t="n">
        <v>8</v>
      </c>
      <c r="H47" s="3" t="n">
        <v>499</v>
      </c>
    </row>
    <row r="48" customFormat="false" ht="15" hidden="false" customHeight="false" outlineLevel="0" collapsed="false">
      <c r="A48" s="3" t="s">
        <v>120</v>
      </c>
      <c r="B48" s="3" t="s">
        <v>121</v>
      </c>
      <c r="C48" s="3" t="s">
        <v>31</v>
      </c>
      <c r="D48" s="3" t="s">
        <v>32</v>
      </c>
      <c r="E48" s="3" t="s">
        <v>56</v>
      </c>
      <c r="F48" s="3" t="s">
        <v>42</v>
      </c>
      <c r="G48" s="4"/>
      <c r="H48" s="3" t="n">
        <v>1499</v>
      </c>
    </row>
    <row r="49" customFormat="false" ht="15" hidden="false" customHeight="false" outlineLevel="0" collapsed="false">
      <c r="A49" s="3" t="s">
        <v>122</v>
      </c>
      <c r="B49" s="3" t="s">
        <v>123</v>
      </c>
      <c r="C49" s="3" t="s">
        <v>105</v>
      </c>
      <c r="D49" s="3" t="s">
        <v>32</v>
      </c>
      <c r="E49" s="3" t="s">
        <v>13</v>
      </c>
      <c r="F49" s="3" t="s">
        <v>28</v>
      </c>
      <c r="G49" s="3" t="n">
        <v>1</v>
      </c>
      <c r="H49" s="3" t="n">
        <v>1799</v>
      </c>
    </row>
    <row r="50" customFormat="false" ht="15" hidden="false" customHeight="false" outlineLevel="0" collapsed="false">
      <c r="A50" s="3" t="s">
        <v>124</v>
      </c>
      <c r="B50" s="3" t="s">
        <v>125</v>
      </c>
      <c r="C50" s="3" t="s">
        <v>55</v>
      </c>
      <c r="D50" s="3" t="s">
        <v>12</v>
      </c>
      <c r="E50" s="3" t="s">
        <v>41</v>
      </c>
      <c r="F50" s="3" t="s">
        <v>18</v>
      </c>
      <c r="G50" s="3" t="n">
        <v>7</v>
      </c>
      <c r="H50" s="3" t="n">
        <v>299</v>
      </c>
    </row>
    <row r="51" customFormat="false" ht="15" hidden="false" customHeight="false" outlineLevel="0" collapsed="false">
      <c r="A51" s="3" t="s">
        <v>126</v>
      </c>
      <c r="B51" s="3" t="s">
        <v>127</v>
      </c>
      <c r="C51" s="3" t="s">
        <v>93</v>
      </c>
      <c r="D51" s="3" t="s">
        <v>12</v>
      </c>
      <c r="E51" s="3" t="s">
        <v>41</v>
      </c>
      <c r="F51" s="3" t="s">
        <v>28</v>
      </c>
      <c r="G51" s="3" t="n">
        <v>7</v>
      </c>
      <c r="H51" s="3" t="n">
        <v>1299</v>
      </c>
    </row>
    <row r="52" customFormat="false" ht="15" hidden="false" customHeight="false" outlineLevel="0" collapsed="false">
      <c r="A52" s="3" t="s">
        <v>128</v>
      </c>
      <c r="B52" s="3" t="s">
        <v>129</v>
      </c>
      <c r="C52" s="3" t="s">
        <v>27</v>
      </c>
      <c r="D52" s="3" t="s">
        <v>22</v>
      </c>
      <c r="E52" s="3" t="s">
        <v>13</v>
      </c>
      <c r="F52" s="3" t="s">
        <v>18</v>
      </c>
      <c r="G52" s="3" t="n">
        <v>9</v>
      </c>
      <c r="H52" s="3" t="n">
        <v>899</v>
      </c>
    </row>
    <row r="53" customFormat="false" ht="15" hidden="false" customHeight="false" outlineLevel="0" collapsed="false">
      <c r="A53" s="3" t="s">
        <v>130</v>
      </c>
      <c r="B53" s="3" t="s">
        <v>131</v>
      </c>
      <c r="C53" s="3" t="s">
        <v>93</v>
      </c>
      <c r="D53" s="3" t="s">
        <v>12</v>
      </c>
      <c r="E53" s="3" t="s">
        <v>41</v>
      </c>
      <c r="F53" s="3" t="s">
        <v>35</v>
      </c>
      <c r="G53" s="3" t="n">
        <v>1</v>
      </c>
      <c r="H53" s="3" t="n">
        <v>1299</v>
      </c>
    </row>
    <row r="54" customFormat="false" ht="15" hidden="false" customHeight="false" outlineLevel="0" collapsed="false">
      <c r="A54" s="3" t="s">
        <v>132</v>
      </c>
      <c r="B54" s="3" t="s">
        <v>133</v>
      </c>
      <c r="C54" s="3" t="s">
        <v>75</v>
      </c>
      <c r="D54" s="3" t="s">
        <v>32</v>
      </c>
      <c r="E54" s="3" t="s">
        <v>56</v>
      </c>
      <c r="F54" s="3" t="s">
        <v>42</v>
      </c>
      <c r="G54" s="3" t="n">
        <v>3</v>
      </c>
      <c r="H54" s="3" t="n">
        <v>8999</v>
      </c>
    </row>
    <row r="55" customFormat="false" ht="15" hidden="false" customHeight="false" outlineLevel="0" collapsed="false">
      <c r="A55" s="3" t="s">
        <v>134</v>
      </c>
      <c r="B55" s="3" t="s">
        <v>119</v>
      </c>
      <c r="C55" s="3" t="s">
        <v>93</v>
      </c>
      <c r="D55" s="3" t="s">
        <v>12</v>
      </c>
      <c r="E55" s="3" t="s">
        <v>41</v>
      </c>
      <c r="F55" s="3" t="s">
        <v>28</v>
      </c>
      <c r="G55" s="3" t="n">
        <v>8</v>
      </c>
      <c r="H55" s="3" t="n">
        <v>1299</v>
      </c>
    </row>
    <row r="56" customFormat="false" ht="15" hidden="false" customHeight="false" outlineLevel="0" collapsed="false">
      <c r="A56" s="3" t="s">
        <v>135</v>
      </c>
      <c r="B56" s="3" t="s">
        <v>136</v>
      </c>
      <c r="C56" s="3" t="s">
        <v>55</v>
      </c>
      <c r="D56" s="3" t="s">
        <v>12</v>
      </c>
      <c r="E56" s="3" t="s">
        <v>41</v>
      </c>
      <c r="F56" s="3" t="s">
        <v>18</v>
      </c>
      <c r="G56" s="3" t="n">
        <v>7</v>
      </c>
      <c r="H56" s="3" t="n">
        <v>299</v>
      </c>
    </row>
    <row r="57" customFormat="false" ht="15" hidden="false" customHeight="false" outlineLevel="0" collapsed="false">
      <c r="A57" s="3" t="s">
        <v>137</v>
      </c>
      <c r="B57" s="3" t="s">
        <v>47</v>
      </c>
      <c r="C57" s="3" t="s">
        <v>75</v>
      </c>
      <c r="D57" s="3" t="s">
        <v>32</v>
      </c>
      <c r="E57" s="3" t="s">
        <v>56</v>
      </c>
      <c r="F57" s="3" t="s">
        <v>24</v>
      </c>
      <c r="G57" s="3" t="n">
        <v>12</v>
      </c>
      <c r="H57" s="3" t="n">
        <v>8999</v>
      </c>
    </row>
    <row r="58" customFormat="false" ht="15" hidden="false" customHeight="false" outlineLevel="0" collapsed="false">
      <c r="A58" s="3" t="s">
        <v>138</v>
      </c>
      <c r="B58" s="3" t="s">
        <v>139</v>
      </c>
      <c r="C58" s="3" t="s">
        <v>27</v>
      </c>
      <c r="D58" s="3" t="s">
        <v>22</v>
      </c>
      <c r="E58" s="3" t="s">
        <v>41</v>
      </c>
      <c r="F58" s="3" t="s">
        <v>18</v>
      </c>
      <c r="G58" s="3" t="n">
        <v>10</v>
      </c>
      <c r="H58" s="3" t="n">
        <v>899</v>
      </c>
    </row>
    <row r="59" customFormat="false" ht="15" hidden="false" customHeight="false" outlineLevel="0" collapsed="false">
      <c r="A59" s="3" t="s">
        <v>140</v>
      </c>
      <c r="B59" s="3" t="s">
        <v>136</v>
      </c>
      <c r="C59" s="3" t="s">
        <v>38</v>
      </c>
      <c r="D59" s="3" t="s">
        <v>32</v>
      </c>
      <c r="E59" s="3" t="s">
        <v>141</v>
      </c>
      <c r="F59" s="3" t="s">
        <v>18</v>
      </c>
      <c r="G59" s="3" t="n">
        <v>5</v>
      </c>
      <c r="H59" s="3" t="n">
        <v>1999</v>
      </c>
    </row>
    <row r="60" customFormat="false" ht="15" hidden="false" customHeight="false" outlineLevel="0" collapsed="false">
      <c r="A60" s="3" t="s">
        <v>142</v>
      </c>
      <c r="B60" s="3" t="s">
        <v>50</v>
      </c>
      <c r="C60" s="3" t="s">
        <v>93</v>
      </c>
      <c r="D60" s="3" t="s">
        <v>12</v>
      </c>
      <c r="E60" s="3" t="s">
        <v>13</v>
      </c>
      <c r="F60" s="3" t="s">
        <v>28</v>
      </c>
      <c r="G60" s="3" t="n">
        <v>10</v>
      </c>
      <c r="H60" s="3" t="n">
        <v>1299</v>
      </c>
    </row>
    <row r="61" customFormat="false" ht="15" hidden="false" customHeight="false" outlineLevel="0" collapsed="false">
      <c r="A61" s="3" t="s">
        <v>143</v>
      </c>
      <c r="B61" s="3" t="s">
        <v>144</v>
      </c>
      <c r="C61" s="3" t="s">
        <v>75</v>
      </c>
      <c r="D61" s="3" t="s">
        <v>32</v>
      </c>
      <c r="E61" s="3" t="s">
        <v>56</v>
      </c>
      <c r="F61" s="3" t="s">
        <v>35</v>
      </c>
      <c r="G61" s="3" t="n">
        <v>4</v>
      </c>
      <c r="H61" s="3" t="n">
        <v>8999</v>
      </c>
    </row>
    <row r="62" customFormat="false" ht="15" hidden="false" customHeight="false" outlineLevel="0" collapsed="false">
      <c r="A62" s="3" t="s">
        <v>145</v>
      </c>
      <c r="B62" s="3" t="s">
        <v>146</v>
      </c>
      <c r="C62" s="3" t="s">
        <v>93</v>
      </c>
      <c r="D62" s="3" t="s">
        <v>12</v>
      </c>
      <c r="E62" s="3" t="s">
        <v>56</v>
      </c>
      <c r="F62" s="3" t="s">
        <v>18</v>
      </c>
      <c r="G62" s="3" t="n">
        <v>8</v>
      </c>
      <c r="H62" s="3" t="n">
        <v>1299</v>
      </c>
    </row>
    <row r="63" customFormat="false" ht="15" hidden="false" customHeight="false" outlineLevel="0" collapsed="false">
      <c r="A63" s="3" t="s">
        <v>147</v>
      </c>
      <c r="B63" s="3" t="s">
        <v>148</v>
      </c>
      <c r="C63" s="3" t="s">
        <v>38</v>
      </c>
      <c r="D63" s="3" t="s">
        <v>32</v>
      </c>
      <c r="E63" s="3" t="s">
        <v>23</v>
      </c>
      <c r="F63" s="3" t="s">
        <v>24</v>
      </c>
      <c r="G63" s="3" t="n">
        <v>4</v>
      </c>
      <c r="H63" s="3" t="n">
        <v>1999</v>
      </c>
    </row>
    <row r="64" customFormat="false" ht="15" hidden="false" customHeight="false" outlineLevel="0" collapsed="false">
      <c r="A64" s="3" t="s">
        <v>149</v>
      </c>
      <c r="B64" s="3" t="s">
        <v>150</v>
      </c>
      <c r="C64" s="3" t="s">
        <v>27</v>
      </c>
      <c r="D64" s="3" t="s">
        <v>22</v>
      </c>
      <c r="E64" s="3" t="s">
        <v>13</v>
      </c>
      <c r="F64" s="3" t="s">
        <v>18</v>
      </c>
      <c r="G64" s="3" t="n">
        <v>2</v>
      </c>
      <c r="H64" s="3" t="n">
        <v>899</v>
      </c>
    </row>
    <row r="65" customFormat="false" ht="15" hidden="false" customHeight="false" outlineLevel="0" collapsed="false">
      <c r="A65" s="3" t="s">
        <v>151</v>
      </c>
      <c r="B65" s="3" t="s">
        <v>152</v>
      </c>
      <c r="C65" s="3" t="s">
        <v>27</v>
      </c>
      <c r="D65" s="3" t="s">
        <v>22</v>
      </c>
      <c r="E65" s="3" t="s">
        <v>13</v>
      </c>
      <c r="F65" s="3" t="s">
        <v>28</v>
      </c>
      <c r="G65" s="3" t="n">
        <v>12</v>
      </c>
      <c r="H65" s="4"/>
    </row>
    <row r="66" customFormat="false" ht="15" hidden="false" customHeight="false" outlineLevel="0" collapsed="false">
      <c r="A66" s="3" t="s">
        <v>153</v>
      </c>
      <c r="B66" s="3" t="s">
        <v>154</v>
      </c>
      <c r="C66" s="3" t="s">
        <v>75</v>
      </c>
      <c r="D66" s="3" t="s">
        <v>32</v>
      </c>
      <c r="E66" s="3" t="s">
        <v>23</v>
      </c>
      <c r="F66" s="3" t="s">
        <v>42</v>
      </c>
      <c r="G66" s="3" t="n">
        <v>7</v>
      </c>
      <c r="H66" s="3" t="n">
        <v>8999</v>
      </c>
    </row>
    <row r="67" customFormat="false" ht="15" hidden="false" customHeight="false" outlineLevel="0" collapsed="false">
      <c r="A67" s="3" t="s">
        <v>155</v>
      </c>
      <c r="B67" s="3" t="s">
        <v>156</v>
      </c>
      <c r="C67" s="3" t="s">
        <v>21</v>
      </c>
      <c r="D67" s="3" t="s">
        <v>22</v>
      </c>
      <c r="E67" s="3" t="s">
        <v>41</v>
      </c>
      <c r="F67" s="3" t="s">
        <v>28</v>
      </c>
      <c r="G67" s="3" t="n">
        <v>6</v>
      </c>
      <c r="H67" s="3" t="n">
        <v>699</v>
      </c>
    </row>
    <row r="68" customFormat="false" ht="15" hidden="false" customHeight="false" outlineLevel="0" collapsed="false">
      <c r="A68" s="3" t="s">
        <v>157</v>
      </c>
      <c r="B68" s="3" t="s">
        <v>158</v>
      </c>
      <c r="C68" s="3" t="s">
        <v>27</v>
      </c>
      <c r="D68" s="3" t="s">
        <v>22</v>
      </c>
      <c r="E68" s="3" t="s">
        <v>13</v>
      </c>
      <c r="F68" s="3" t="s">
        <v>42</v>
      </c>
      <c r="G68" s="3" t="n">
        <v>8</v>
      </c>
      <c r="H68" s="3" t="n">
        <v>899</v>
      </c>
    </row>
    <row r="69" customFormat="false" ht="15" hidden="false" customHeight="false" outlineLevel="0" collapsed="false">
      <c r="A69" s="3" t="s">
        <v>159</v>
      </c>
      <c r="B69" s="3" t="s">
        <v>160</v>
      </c>
      <c r="C69" s="3" t="s">
        <v>75</v>
      </c>
      <c r="D69" s="3" t="s">
        <v>32</v>
      </c>
      <c r="E69" s="3" t="s">
        <v>13</v>
      </c>
      <c r="F69" s="3" t="s">
        <v>24</v>
      </c>
      <c r="G69" s="3" t="n">
        <v>7</v>
      </c>
      <c r="H69" s="3" t="n">
        <v>8999</v>
      </c>
    </row>
    <row r="70" customFormat="false" ht="15" hidden="false" customHeight="false" outlineLevel="0" collapsed="false">
      <c r="A70" s="3" t="s">
        <v>161</v>
      </c>
      <c r="B70" s="3" t="s">
        <v>162</v>
      </c>
      <c r="C70" s="3" t="s">
        <v>38</v>
      </c>
      <c r="D70" s="3" t="s">
        <v>32</v>
      </c>
      <c r="E70" s="3" t="s">
        <v>41</v>
      </c>
      <c r="F70" s="3" t="s">
        <v>24</v>
      </c>
      <c r="G70" s="4"/>
      <c r="H70" s="3" t="n">
        <v>1999</v>
      </c>
    </row>
    <row r="71" customFormat="false" ht="15" hidden="false" customHeight="false" outlineLevel="0" collapsed="false">
      <c r="A71" s="3" t="s">
        <v>163</v>
      </c>
      <c r="B71" s="3" t="s">
        <v>164</v>
      </c>
      <c r="C71" s="3" t="s">
        <v>27</v>
      </c>
      <c r="D71" s="3" t="s">
        <v>22</v>
      </c>
      <c r="E71" s="3" t="s">
        <v>56</v>
      </c>
      <c r="F71" s="4"/>
      <c r="G71" s="3" t="n">
        <v>13</v>
      </c>
      <c r="H71" s="3" t="n">
        <v>899</v>
      </c>
    </row>
    <row r="72" customFormat="false" ht="15" hidden="false" customHeight="false" outlineLevel="0" collapsed="false">
      <c r="A72" s="3" t="s">
        <v>165</v>
      </c>
      <c r="B72" s="3" t="s">
        <v>166</v>
      </c>
      <c r="C72" s="3" t="s">
        <v>38</v>
      </c>
      <c r="D72" s="3" t="s">
        <v>32</v>
      </c>
      <c r="E72" s="3" t="s">
        <v>13</v>
      </c>
      <c r="F72" s="3" t="s">
        <v>42</v>
      </c>
      <c r="G72" s="3" t="n">
        <v>13</v>
      </c>
      <c r="H72" s="3" t="n">
        <v>1999</v>
      </c>
    </row>
    <row r="73" customFormat="false" ht="15" hidden="false" customHeight="false" outlineLevel="0" collapsed="false">
      <c r="A73" s="3" t="s">
        <v>167</v>
      </c>
      <c r="B73" s="3" t="s">
        <v>168</v>
      </c>
      <c r="C73" s="3" t="s">
        <v>45</v>
      </c>
      <c r="D73" s="3" t="s">
        <v>12</v>
      </c>
      <c r="E73" s="3" t="s">
        <v>13</v>
      </c>
      <c r="F73" s="3" t="s">
        <v>35</v>
      </c>
      <c r="G73" s="3" t="n">
        <v>10</v>
      </c>
      <c r="H73" s="3" t="n">
        <v>499</v>
      </c>
    </row>
    <row r="74" customFormat="false" ht="15" hidden="false" customHeight="false" outlineLevel="0" collapsed="false">
      <c r="A74" s="3" t="s">
        <v>169</v>
      </c>
      <c r="B74" s="3" t="s">
        <v>170</v>
      </c>
      <c r="C74" s="3" t="s">
        <v>38</v>
      </c>
      <c r="D74" s="3" t="s">
        <v>32</v>
      </c>
      <c r="E74" s="3" t="s">
        <v>13</v>
      </c>
      <c r="F74" s="3" t="s">
        <v>18</v>
      </c>
      <c r="G74" s="3" t="n">
        <v>10</v>
      </c>
      <c r="H74" s="3" t="n">
        <v>1999</v>
      </c>
    </row>
    <row r="75" customFormat="false" ht="15" hidden="false" customHeight="false" outlineLevel="0" collapsed="false">
      <c r="A75" s="3" t="s">
        <v>171</v>
      </c>
      <c r="B75" s="3" t="s">
        <v>172</v>
      </c>
      <c r="C75" s="3" t="s">
        <v>38</v>
      </c>
      <c r="D75" s="3" t="s">
        <v>32</v>
      </c>
      <c r="E75" s="3" t="s">
        <v>13</v>
      </c>
      <c r="F75" s="3" t="s">
        <v>18</v>
      </c>
      <c r="G75" s="3" t="n">
        <v>2</v>
      </c>
      <c r="H75" s="3" t="n">
        <v>1999</v>
      </c>
    </row>
    <row r="76" customFormat="false" ht="15" hidden="false" customHeight="false" outlineLevel="0" collapsed="false">
      <c r="A76" s="3" t="s">
        <v>173</v>
      </c>
      <c r="B76" s="3" t="s">
        <v>174</v>
      </c>
      <c r="C76" s="3" t="s">
        <v>38</v>
      </c>
      <c r="D76" s="3" t="s">
        <v>32</v>
      </c>
      <c r="E76" s="3" t="s">
        <v>56</v>
      </c>
      <c r="F76" s="3" t="s">
        <v>18</v>
      </c>
      <c r="G76" s="3" t="n">
        <v>2</v>
      </c>
      <c r="H76" s="3" t="n">
        <v>1999</v>
      </c>
    </row>
    <row r="77" customFormat="false" ht="15" hidden="false" customHeight="false" outlineLevel="0" collapsed="false">
      <c r="A77" s="3" t="s">
        <v>175</v>
      </c>
      <c r="B77" s="3" t="s">
        <v>176</v>
      </c>
      <c r="C77" s="3" t="s">
        <v>38</v>
      </c>
      <c r="D77" s="3" t="s">
        <v>32</v>
      </c>
      <c r="E77" s="3" t="s">
        <v>48</v>
      </c>
      <c r="F77" s="3" t="s">
        <v>35</v>
      </c>
      <c r="G77" s="3" t="n">
        <v>3</v>
      </c>
      <c r="H77" s="3" t="n">
        <v>1999</v>
      </c>
    </row>
    <row r="78" customFormat="false" ht="15" hidden="false" customHeight="false" outlineLevel="0" collapsed="false">
      <c r="A78" s="3" t="s">
        <v>177</v>
      </c>
      <c r="B78" s="3" t="s">
        <v>178</v>
      </c>
      <c r="C78" s="3" t="s">
        <v>105</v>
      </c>
      <c r="D78" s="3" t="s">
        <v>32</v>
      </c>
      <c r="E78" s="3" t="s">
        <v>56</v>
      </c>
      <c r="F78" s="3" t="s">
        <v>24</v>
      </c>
      <c r="G78" s="3" t="n">
        <v>2</v>
      </c>
      <c r="H78" s="3" t="n">
        <v>1799</v>
      </c>
    </row>
    <row r="79" customFormat="false" ht="15" hidden="false" customHeight="false" outlineLevel="0" collapsed="false">
      <c r="A79" s="3" t="s">
        <v>179</v>
      </c>
      <c r="B79" s="3" t="s">
        <v>180</v>
      </c>
      <c r="C79" s="3" t="s">
        <v>31</v>
      </c>
      <c r="D79" s="3" t="s">
        <v>32</v>
      </c>
      <c r="E79" s="3" t="s">
        <v>23</v>
      </c>
      <c r="F79" s="3" t="s">
        <v>24</v>
      </c>
      <c r="G79" s="3" t="n">
        <v>7</v>
      </c>
      <c r="H79" s="3" t="n">
        <v>1499</v>
      </c>
    </row>
    <row r="80" customFormat="false" ht="15" hidden="false" customHeight="false" outlineLevel="0" collapsed="false">
      <c r="A80" s="3" t="s">
        <v>181</v>
      </c>
      <c r="B80" s="3" t="s">
        <v>182</v>
      </c>
      <c r="C80" s="3" t="s">
        <v>45</v>
      </c>
      <c r="D80" s="3" t="s">
        <v>12</v>
      </c>
      <c r="E80" s="3" t="s">
        <v>13</v>
      </c>
      <c r="F80" s="3" t="s">
        <v>35</v>
      </c>
      <c r="G80" s="3" t="n">
        <v>11</v>
      </c>
      <c r="H80" s="3" t="n">
        <v>499</v>
      </c>
    </row>
    <row r="81" customFormat="false" ht="15" hidden="false" customHeight="false" outlineLevel="0" collapsed="false">
      <c r="A81" s="3" t="s">
        <v>183</v>
      </c>
      <c r="B81" s="3" t="s">
        <v>184</v>
      </c>
      <c r="C81" s="3" t="s">
        <v>38</v>
      </c>
      <c r="D81" s="3" t="s">
        <v>32</v>
      </c>
      <c r="E81" s="3" t="s">
        <v>13</v>
      </c>
      <c r="F81" s="4"/>
      <c r="G81" s="3" t="n">
        <v>9</v>
      </c>
      <c r="H81" s="3" t="n">
        <v>1999</v>
      </c>
    </row>
    <row r="82" customFormat="false" ht="15" hidden="false" customHeight="false" outlineLevel="0" collapsed="false">
      <c r="A82" s="3" t="s">
        <v>185</v>
      </c>
      <c r="B82" s="3" t="s">
        <v>186</v>
      </c>
      <c r="C82" s="3" t="s">
        <v>38</v>
      </c>
      <c r="D82" s="3" t="s">
        <v>32</v>
      </c>
      <c r="E82" s="3" t="s">
        <v>41</v>
      </c>
      <c r="F82" s="3" t="s">
        <v>24</v>
      </c>
      <c r="G82" s="3" t="n">
        <v>2</v>
      </c>
      <c r="H82" s="3" t="n">
        <v>1999</v>
      </c>
    </row>
    <row r="83" customFormat="false" ht="15" hidden="false" customHeight="false" outlineLevel="0" collapsed="false">
      <c r="A83" s="3" t="s">
        <v>187</v>
      </c>
      <c r="B83" s="3" t="s">
        <v>188</v>
      </c>
      <c r="C83" s="3" t="s">
        <v>16</v>
      </c>
      <c r="D83" s="3" t="s">
        <v>12</v>
      </c>
      <c r="E83" s="3" t="s">
        <v>41</v>
      </c>
      <c r="F83" s="3" t="s">
        <v>24</v>
      </c>
      <c r="G83" s="3" t="n">
        <v>5</v>
      </c>
      <c r="H83" s="3" t="n">
        <v>2499</v>
      </c>
    </row>
    <row r="84" customFormat="false" ht="15" hidden="false" customHeight="false" outlineLevel="0" collapsed="false">
      <c r="A84" s="3" t="s">
        <v>189</v>
      </c>
      <c r="B84" s="3" t="s">
        <v>190</v>
      </c>
      <c r="C84" s="3" t="s">
        <v>55</v>
      </c>
      <c r="D84" s="3" t="s">
        <v>12</v>
      </c>
      <c r="E84" s="3" t="s">
        <v>13</v>
      </c>
      <c r="F84" s="3" t="s">
        <v>18</v>
      </c>
      <c r="G84" s="3" t="n">
        <v>1</v>
      </c>
      <c r="H84" s="3" t="n">
        <v>299</v>
      </c>
    </row>
    <row r="85" customFormat="false" ht="15" hidden="false" customHeight="false" outlineLevel="0" collapsed="false">
      <c r="A85" s="3" t="s">
        <v>191</v>
      </c>
      <c r="B85" s="3" t="s">
        <v>164</v>
      </c>
      <c r="C85" s="3" t="s">
        <v>27</v>
      </c>
      <c r="D85" s="3" t="s">
        <v>22</v>
      </c>
      <c r="E85" s="3" t="s">
        <v>56</v>
      </c>
      <c r="F85" s="3" t="s">
        <v>42</v>
      </c>
      <c r="G85" s="3" t="n">
        <v>12</v>
      </c>
      <c r="H85" s="3" t="n">
        <v>899</v>
      </c>
    </row>
    <row r="86" customFormat="false" ht="15" hidden="false" customHeight="false" outlineLevel="0" collapsed="false">
      <c r="A86" s="3" t="s">
        <v>192</v>
      </c>
      <c r="B86" s="3" t="s">
        <v>193</v>
      </c>
      <c r="C86" s="3" t="s">
        <v>31</v>
      </c>
      <c r="D86" s="3" t="s">
        <v>32</v>
      </c>
      <c r="E86" s="3" t="s">
        <v>41</v>
      </c>
      <c r="F86" s="3" t="s">
        <v>35</v>
      </c>
      <c r="G86" s="3" t="n">
        <v>7</v>
      </c>
      <c r="H86" s="3" t="n">
        <v>1499</v>
      </c>
    </row>
    <row r="87" customFormat="false" ht="15" hidden="false" customHeight="false" outlineLevel="0" collapsed="false">
      <c r="A87" s="3" t="s">
        <v>194</v>
      </c>
      <c r="B87" s="3" t="s">
        <v>195</v>
      </c>
      <c r="C87" s="3" t="s">
        <v>31</v>
      </c>
      <c r="D87" s="3" t="s">
        <v>32</v>
      </c>
      <c r="E87" s="3" t="s">
        <v>13</v>
      </c>
      <c r="F87" s="3" t="s">
        <v>42</v>
      </c>
      <c r="G87" s="3" t="n">
        <v>6</v>
      </c>
      <c r="H87" s="3" t="n">
        <v>1499</v>
      </c>
    </row>
    <row r="88" customFormat="false" ht="15" hidden="false" customHeight="false" outlineLevel="0" collapsed="false">
      <c r="A88" s="3" t="s">
        <v>196</v>
      </c>
      <c r="B88" s="3" t="s">
        <v>197</v>
      </c>
      <c r="C88" s="3" t="s">
        <v>93</v>
      </c>
      <c r="D88" s="3" t="s">
        <v>12</v>
      </c>
      <c r="E88" s="3" t="s">
        <v>56</v>
      </c>
      <c r="F88" s="3" t="s">
        <v>24</v>
      </c>
      <c r="G88" s="3" t="n">
        <v>10</v>
      </c>
      <c r="H88" s="3" t="n">
        <v>1299</v>
      </c>
    </row>
    <row r="89" customFormat="false" ht="15" hidden="false" customHeight="false" outlineLevel="0" collapsed="false">
      <c r="A89" s="3" t="s">
        <v>198</v>
      </c>
      <c r="B89" s="3" t="s">
        <v>199</v>
      </c>
      <c r="C89" s="3" t="s">
        <v>27</v>
      </c>
      <c r="D89" s="3" t="s">
        <v>22</v>
      </c>
      <c r="E89" s="3" t="s">
        <v>56</v>
      </c>
      <c r="F89" s="3" t="s">
        <v>35</v>
      </c>
      <c r="G89" s="3" t="n">
        <v>11</v>
      </c>
      <c r="H89" s="3" t="n">
        <v>899</v>
      </c>
    </row>
    <row r="90" customFormat="false" ht="15" hidden="false" customHeight="false" outlineLevel="0" collapsed="false">
      <c r="A90" s="3" t="s">
        <v>200</v>
      </c>
      <c r="B90" s="3" t="s">
        <v>90</v>
      </c>
      <c r="C90" s="3" t="s">
        <v>45</v>
      </c>
      <c r="D90" s="3" t="s">
        <v>12</v>
      </c>
      <c r="E90" s="3" t="s">
        <v>141</v>
      </c>
      <c r="F90" s="3" t="s">
        <v>35</v>
      </c>
      <c r="G90" s="3" t="n">
        <v>11</v>
      </c>
      <c r="H90" s="3" t="n">
        <v>499</v>
      </c>
    </row>
    <row r="91" customFormat="false" ht="15" hidden="false" customHeight="false" outlineLevel="0" collapsed="false">
      <c r="A91" s="3" t="s">
        <v>201</v>
      </c>
      <c r="B91" s="3" t="s">
        <v>202</v>
      </c>
      <c r="C91" s="3" t="s">
        <v>75</v>
      </c>
      <c r="D91" s="3" t="s">
        <v>32</v>
      </c>
      <c r="E91" s="3" t="s">
        <v>56</v>
      </c>
      <c r="F91" s="3" t="s">
        <v>28</v>
      </c>
      <c r="G91" s="3" t="n">
        <v>12</v>
      </c>
      <c r="H91" s="3" t="n">
        <v>8999</v>
      </c>
    </row>
    <row r="92" customFormat="false" ht="15" hidden="false" customHeight="false" outlineLevel="0" collapsed="false">
      <c r="A92" s="3" t="s">
        <v>203</v>
      </c>
      <c r="B92" s="3" t="s">
        <v>204</v>
      </c>
      <c r="C92" s="3" t="s">
        <v>16</v>
      </c>
      <c r="D92" s="3" t="s">
        <v>12</v>
      </c>
      <c r="E92" s="3" t="s">
        <v>41</v>
      </c>
      <c r="F92" s="3" t="s">
        <v>35</v>
      </c>
      <c r="G92" s="3" t="n">
        <v>1</v>
      </c>
      <c r="H92" s="3" t="n">
        <v>2499</v>
      </c>
    </row>
    <row r="93" customFormat="false" ht="15" hidden="false" customHeight="false" outlineLevel="0" collapsed="false">
      <c r="A93" s="3" t="s">
        <v>205</v>
      </c>
      <c r="B93" s="3" t="s">
        <v>172</v>
      </c>
      <c r="C93" s="3" t="s">
        <v>45</v>
      </c>
      <c r="D93" s="3" t="s">
        <v>12</v>
      </c>
      <c r="E93" s="3" t="s">
        <v>23</v>
      </c>
      <c r="F93" s="3" t="s">
        <v>18</v>
      </c>
      <c r="G93" s="3" t="n">
        <v>5</v>
      </c>
      <c r="H93" s="3" t="n">
        <v>499</v>
      </c>
    </row>
    <row r="94" customFormat="false" ht="15" hidden="false" customHeight="false" outlineLevel="0" collapsed="false">
      <c r="A94" s="3" t="s">
        <v>206</v>
      </c>
      <c r="B94" s="3" t="s">
        <v>207</v>
      </c>
      <c r="C94" s="3" t="s">
        <v>16</v>
      </c>
      <c r="D94" s="3" t="s">
        <v>12</v>
      </c>
      <c r="E94" s="3" t="s">
        <v>13</v>
      </c>
      <c r="F94" s="3" t="s">
        <v>24</v>
      </c>
      <c r="G94" s="3" t="n">
        <v>1</v>
      </c>
      <c r="H94" s="3" t="n">
        <v>2499</v>
      </c>
    </row>
    <row r="95" customFormat="false" ht="15" hidden="false" customHeight="false" outlineLevel="0" collapsed="false">
      <c r="A95" s="3" t="s">
        <v>208</v>
      </c>
      <c r="B95" s="3" t="s">
        <v>209</v>
      </c>
      <c r="C95" s="3" t="s">
        <v>45</v>
      </c>
      <c r="D95" s="3" t="s">
        <v>12</v>
      </c>
      <c r="E95" s="3" t="s">
        <v>41</v>
      </c>
      <c r="F95" s="3" t="s">
        <v>28</v>
      </c>
      <c r="G95" s="3" t="n">
        <v>1</v>
      </c>
      <c r="H95" s="3" t="n">
        <v>499</v>
      </c>
    </row>
    <row r="96" customFormat="false" ht="15" hidden="false" customHeight="false" outlineLevel="0" collapsed="false">
      <c r="A96" s="3" t="s">
        <v>210</v>
      </c>
      <c r="B96" s="3" t="s">
        <v>129</v>
      </c>
      <c r="C96" s="3" t="s">
        <v>105</v>
      </c>
      <c r="D96" s="3" t="s">
        <v>32</v>
      </c>
      <c r="E96" s="3" t="s">
        <v>17</v>
      </c>
      <c r="F96" s="3" t="s">
        <v>42</v>
      </c>
      <c r="G96" s="3" t="n">
        <v>10</v>
      </c>
      <c r="H96" s="3" t="n">
        <v>1799</v>
      </c>
    </row>
    <row r="97" customFormat="false" ht="15" hidden="false" customHeight="false" outlineLevel="0" collapsed="false">
      <c r="A97" s="3" t="s">
        <v>211</v>
      </c>
      <c r="B97" s="3" t="s">
        <v>212</v>
      </c>
      <c r="C97" s="3" t="s">
        <v>21</v>
      </c>
      <c r="D97" s="3" t="s">
        <v>22</v>
      </c>
      <c r="E97" s="3" t="s">
        <v>23</v>
      </c>
      <c r="F97" s="3" t="s">
        <v>28</v>
      </c>
      <c r="G97" s="3" t="n">
        <v>2</v>
      </c>
      <c r="H97" s="3" t="n">
        <v>699</v>
      </c>
    </row>
    <row r="98" customFormat="false" ht="15" hidden="false" customHeight="false" outlineLevel="0" collapsed="false">
      <c r="A98" s="3" t="s">
        <v>213</v>
      </c>
      <c r="B98" s="3" t="s">
        <v>214</v>
      </c>
      <c r="C98" s="3" t="s">
        <v>16</v>
      </c>
      <c r="D98" s="3" t="s">
        <v>12</v>
      </c>
      <c r="E98" s="3" t="s">
        <v>41</v>
      </c>
      <c r="F98" s="3" t="s">
        <v>35</v>
      </c>
      <c r="G98" s="3" t="n">
        <v>4</v>
      </c>
      <c r="H98" s="3" t="n">
        <v>2499</v>
      </c>
    </row>
    <row r="99" customFormat="false" ht="15" hidden="false" customHeight="false" outlineLevel="0" collapsed="false">
      <c r="A99" s="3" t="s">
        <v>215</v>
      </c>
      <c r="B99" s="3" t="s">
        <v>216</v>
      </c>
      <c r="C99" s="3" t="s">
        <v>105</v>
      </c>
      <c r="D99" s="3" t="s">
        <v>32</v>
      </c>
      <c r="E99" s="3" t="s">
        <v>23</v>
      </c>
      <c r="F99" s="3" t="s">
        <v>24</v>
      </c>
      <c r="G99" s="3" t="n">
        <v>8</v>
      </c>
      <c r="H99" s="3" t="n">
        <v>1799</v>
      </c>
    </row>
    <row r="100" customFormat="false" ht="15" hidden="false" customHeight="false" outlineLevel="0" collapsed="false">
      <c r="A100" s="3" t="s">
        <v>217</v>
      </c>
      <c r="B100" s="3" t="s">
        <v>218</v>
      </c>
      <c r="C100" s="3" t="s">
        <v>16</v>
      </c>
      <c r="D100" s="3" t="s">
        <v>12</v>
      </c>
      <c r="E100" s="3" t="s">
        <v>41</v>
      </c>
      <c r="F100" s="3" t="s">
        <v>42</v>
      </c>
      <c r="G100" s="3" t="n">
        <v>1</v>
      </c>
      <c r="H100" s="4"/>
    </row>
    <row r="101" customFormat="false" ht="15" hidden="false" customHeight="false" outlineLevel="0" collapsed="false">
      <c r="A101" s="3" t="s">
        <v>219</v>
      </c>
      <c r="B101" s="3" t="s">
        <v>220</v>
      </c>
      <c r="C101" s="3" t="s">
        <v>93</v>
      </c>
      <c r="D101" s="3" t="s">
        <v>12</v>
      </c>
      <c r="E101" s="3" t="s">
        <v>13</v>
      </c>
      <c r="F101" s="3" t="s">
        <v>18</v>
      </c>
      <c r="G101" s="3" t="n">
        <v>10</v>
      </c>
      <c r="H101" s="3" t="n">
        <v>1299</v>
      </c>
    </row>
    <row r="102" customFormat="false" ht="15" hidden="false" customHeight="false" outlineLevel="0" collapsed="false">
      <c r="A102" s="3" t="s">
        <v>221</v>
      </c>
      <c r="B102" s="3" t="s">
        <v>222</v>
      </c>
      <c r="C102" s="3" t="s">
        <v>21</v>
      </c>
      <c r="D102" s="3" t="s">
        <v>22</v>
      </c>
      <c r="E102" s="3" t="s">
        <v>23</v>
      </c>
      <c r="F102" s="3" t="s">
        <v>35</v>
      </c>
      <c r="G102" s="3" t="n">
        <v>10</v>
      </c>
      <c r="H102" s="3" t="n">
        <v>699</v>
      </c>
    </row>
    <row r="103" customFormat="false" ht="15" hidden="false" customHeight="false" outlineLevel="0" collapsed="false">
      <c r="A103" s="3" t="s">
        <v>223</v>
      </c>
      <c r="B103" s="3" t="s">
        <v>224</v>
      </c>
      <c r="C103" s="3" t="s">
        <v>27</v>
      </c>
      <c r="D103" s="3" t="s">
        <v>22</v>
      </c>
      <c r="E103" s="3" t="s">
        <v>13</v>
      </c>
      <c r="F103" s="3" t="s">
        <v>28</v>
      </c>
      <c r="G103" s="3" t="n">
        <v>13</v>
      </c>
      <c r="H103" s="3" t="n">
        <v>899</v>
      </c>
    </row>
    <row r="104" customFormat="false" ht="15" hidden="false" customHeight="false" outlineLevel="0" collapsed="false">
      <c r="A104" s="3" t="s">
        <v>225</v>
      </c>
      <c r="B104" s="3" t="s">
        <v>226</v>
      </c>
      <c r="C104" s="3" t="s">
        <v>16</v>
      </c>
      <c r="D104" s="3" t="s">
        <v>12</v>
      </c>
      <c r="E104" s="3" t="s">
        <v>41</v>
      </c>
      <c r="F104" s="3" t="s">
        <v>35</v>
      </c>
      <c r="G104" s="3" t="n">
        <v>6</v>
      </c>
      <c r="H104" s="3" t="n">
        <v>2499</v>
      </c>
    </row>
    <row r="105" customFormat="false" ht="15" hidden="false" customHeight="false" outlineLevel="0" collapsed="false">
      <c r="A105" s="3" t="s">
        <v>227</v>
      </c>
      <c r="B105" s="3" t="s">
        <v>228</v>
      </c>
      <c r="C105" s="3" t="s">
        <v>93</v>
      </c>
      <c r="D105" s="3" t="s">
        <v>12</v>
      </c>
      <c r="E105" s="3" t="s">
        <v>13</v>
      </c>
      <c r="F105" s="3" t="s">
        <v>24</v>
      </c>
      <c r="G105" s="3" t="n">
        <v>5</v>
      </c>
      <c r="H105" s="3" t="n">
        <v>1299</v>
      </c>
    </row>
    <row r="106" customFormat="false" ht="15" hidden="false" customHeight="false" outlineLevel="0" collapsed="false">
      <c r="A106" s="3" t="s">
        <v>229</v>
      </c>
      <c r="B106" s="3" t="s">
        <v>230</v>
      </c>
      <c r="C106" s="3" t="s">
        <v>16</v>
      </c>
      <c r="D106" s="3" t="s">
        <v>12</v>
      </c>
      <c r="E106" s="3" t="s">
        <v>13</v>
      </c>
      <c r="F106" s="3" t="s">
        <v>28</v>
      </c>
      <c r="G106" s="3" t="n">
        <v>3</v>
      </c>
      <c r="H106" s="3" t="n">
        <v>2499</v>
      </c>
    </row>
    <row r="107" customFormat="false" ht="15" hidden="false" customHeight="false" outlineLevel="0" collapsed="false">
      <c r="A107" s="3" t="s">
        <v>231</v>
      </c>
      <c r="B107" s="3" t="s">
        <v>232</v>
      </c>
      <c r="C107" s="3" t="s">
        <v>16</v>
      </c>
      <c r="D107" s="3" t="s">
        <v>12</v>
      </c>
      <c r="E107" s="3" t="s">
        <v>56</v>
      </c>
      <c r="F107" s="3" t="s">
        <v>35</v>
      </c>
      <c r="G107" s="3" t="n">
        <v>9</v>
      </c>
      <c r="H107" s="3" t="n">
        <v>2499</v>
      </c>
    </row>
    <row r="108" customFormat="false" ht="15" hidden="false" customHeight="false" outlineLevel="0" collapsed="false">
      <c r="A108" s="3" t="s">
        <v>233</v>
      </c>
      <c r="B108" s="3" t="s">
        <v>64</v>
      </c>
      <c r="C108" s="3" t="s">
        <v>16</v>
      </c>
      <c r="D108" s="3" t="s">
        <v>12</v>
      </c>
      <c r="E108" s="3" t="s">
        <v>23</v>
      </c>
      <c r="F108" s="3" t="s">
        <v>42</v>
      </c>
      <c r="G108" s="3" t="n">
        <v>13</v>
      </c>
      <c r="H108" s="3" t="n">
        <v>2499</v>
      </c>
    </row>
    <row r="109" customFormat="false" ht="15" hidden="false" customHeight="false" outlineLevel="0" collapsed="false">
      <c r="A109" s="3" t="s">
        <v>234</v>
      </c>
      <c r="B109" s="3" t="s">
        <v>235</v>
      </c>
      <c r="C109" s="3" t="s">
        <v>38</v>
      </c>
      <c r="D109" s="3" t="s">
        <v>32</v>
      </c>
      <c r="E109" s="3" t="s">
        <v>23</v>
      </c>
      <c r="F109" s="3" t="s">
        <v>28</v>
      </c>
      <c r="G109" s="3" t="n">
        <v>4</v>
      </c>
      <c r="H109" s="3" t="n">
        <v>1999</v>
      </c>
    </row>
    <row r="110" customFormat="false" ht="15" hidden="false" customHeight="false" outlineLevel="0" collapsed="false">
      <c r="A110" s="3" t="s">
        <v>236</v>
      </c>
      <c r="B110" s="3" t="s">
        <v>237</v>
      </c>
      <c r="C110" s="3" t="s">
        <v>16</v>
      </c>
      <c r="D110" s="3" t="s">
        <v>12</v>
      </c>
      <c r="E110" s="3" t="s">
        <v>41</v>
      </c>
      <c r="F110" s="3" t="s">
        <v>35</v>
      </c>
      <c r="G110" s="4"/>
      <c r="H110" s="3" t="n">
        <v>2499</v>
      </c>
    </row>
    <row r="111" customFormat="false" ht="15" hidden="false" customHeight="false" outlineLevel="0" collapsed="false">
      <c r="A111" s="3" t="s">
        <v>238</v>
      </c>
      <c r="B111" s="3" t="s">
        <v>37</v>
      </c>
      <c r="C111" s="3" t="s">
        <v>31</v>
      </c>
      <c r="D111" s="3" t="s">
        <v>32</v>
      </c>
      <c r="E111" s="3" t="s">
        <v>23</v>
      </c>
      <c r="F111" s="3" t="s">
        <v>18</v>
      </c>
      <c r="G111" s="3" t="n">
        <v>7</v>
      </c>
      <c r="H111" s="3" t="n">
        <v>1499</v>
      </c>
    </row>
    <row r="112" customFormat="false" ht="15" hidden="false" customHeight="false" outlineLevel="0" collapsed="false">
      <c r="A112" s="3" t="s">
        <v>239</v>
      </c>
      <c r="B112" s="3" t="s">
        <v>240</v>
      </c>
      <c r="C112" s="3" t="s">
        <v>241</v>
      </c>
      <c r="D112" s="3" t="s">
        <v>12</v>
      </c>
      <c r="E112" s="3" t="s">
        <v>56</v>
      </c>
      <c r="F112" s="3" t="s">
        <v>28</v>
      </c>
      <c r="G112" s="3" t="n">
        <v>3</v>
      </c>
      <c r="H112" s="3" t="n">
        <v>299</v>
      </c>
    </row>
    <row r="113" customFormat="false" ht="15" hidden="false" customHeight="false" outlineLevel="0" collapsed="false">
      <c r="A113" s="3" t="s">
        <v>242</v>
      </c>
      <c r="B113" s="3" t="s">
        <v>243</v>
      </c>
      <c r="C113" s="3" t="s">
        <v>105</v>
      </c>
      <c r="D113" s="3" t="s">
        <v>32</v>
      </c>
      <c r="E113" s="3" t="s">
        <v>23</v>
      </c>
      <c r="F113" s="3" t="s">
        <v>28</v>
      </c>
      <c r="G113" s="3" t="n">
        <v>12</v>
      </c>
      <c r="H113" s="3" t="n">
        <v>1799</v>
      </c>
    </row>
    <row r="114" customFormat="false" ht="15" hidden="false" customHeight="false" outlineLevel="0" collapsed="false">
      <c r="A114" s="3" t="s">
        <v>244</v>
      </c>
      <c r="B114" s="3" t="s">
        <v>245</v>
      </c>
      <c r="C114" s="3" t="s">
        <v>27</v>
      </c>
      <c r="D114" s="3" t="s">
        <v>22</v>
      </c>
      <c r="E114" s="3" t="s">
        <v>41</v>
      </c>
      <c r="F114" s="3" t="s">
        <v>18</v>
      </c>
      <c r="G114" s="3" t="n">
        <v>5</v>
      </c>
      <c r="H114" s="3" t="n">
        <v>899</v>
      </c>
    </row>
    <row r="115" customFormat="false" ht="15" hidden="false" customHeight="false" outlineLevel="0" collapsed="false">
      <c r="A115" s="3" t="s">
        <v>246</v>
      </c>
      <c r="B115" s="3" t="s">
        <v>247</v>
      </c>
      <c r="C115" s="3" t="s">
        <v>55</v>
      </c>
      <c r="D115" s="3" t="s">
        <v>12</v>
      </c>
      <c r="E115" s="3" t="s">
        <v>56</v>
      </c>
      <c r="F115" s="3" t="s">
        <v>18</v>
      </c>
      <c r="G115" s="3" t="n">
        <v>5</v>
      </c>
      <c r="H115" s="4"/>
    </row>
    <row r="116" customFormat="false" ht="15" hidden="false" customHeight="false" outlineLevel="0" collapsed="false">
      <c r="A116" s="3" t="s">
        <v>248</v>
      </c>
      <c r="B116" s="3" t="s">
        <v>202</v>
      </c>
      <c r="C116" s="3" t="s">
        <v>27</v>
      </c>
      <c r="D116" s="3" t="s">
        <v>22</v>
      </c>
      <c r="E116" s="3" t="s">
        <v>56</v>
      </c>
      <c r="F116" s="3" t="s">
        <v>42</v>
      </c>
      <c r="G116" s="3" t="n">
        <v>6</v>
      </c>
      <c r="H116" s="3" t="n">
        <v>899</v>
      </c>
    </row>
    <row r="117" customFormat="false" ht="15" hidden="false" customHeight="false" outlineLevel="0" collapsed="false">
      <c r="A117" s="3" t="s">
        <v>249</v>
      </c>
      <c r="B117" s="3" t="s">
        <v>110</v>
      </c>
      <c r="C117" s="3" t="s">
        <v>38</v>
      </c>
      <c r="D117" s="3" t="s">
        <v>32</v>
      </c>
      <c r="E117" s="3" t="s">
        <v>56</v>
      </c>
      <c r="F117" s="3" t="s">
        <v>24</v>
      </c>
      <c r="G117" s="3" t="n">
        <v>6</v>
      </c>
      <c r="H117" s="3" t="n">
        <v>1999</v>
      </c>
    </row>
    <row r="118" customFormat="false" ht="15" hidden="false" customHeight="false" outlineLevel="0" collapsed="false">
      <c r="A118" s="3" t="s">
        <v>250</v>
      </c>
      <c r="B118" s="3" t="s">
        <v>251</v>
      </c>
      <c r="C118" s="3" t="s">
        <v>93</v>
      </c>
      <c r="D118" s="3" t="s">
        <v>12</v>
      </c>
      <c r="E118" s="3" t="s">
        <v>23</v>
      </c>
      <c r="F118" s="3" t="s">
        <v>42</v>
      </c>
      <c r="G118" s="3" t="n">
        <v>4</v>
      </c>
      <c r="H118" s="3" t="n">
        <v>1299</v>
      </c>
    </row>
    <row r="119" customFormat="false" ht="15" hidden="false" customHeight="false" outlineLevel="0" collapsed="false">
      <c r="A119" s="3" t="s">
        <v>252</v>
      </c>
      <c r="B119" s="3" t="s">
        <v>232</v>
      </c>
      <c r="C119" s="3" t="s">
        <v>75</v>
      </c>
      <c r="D119" s="3" t="s">
        <v>32</v>
      </c>
      <c r="E119" s="3" t="s">
        <v>253</v>
      </c>
      <c r="F119" s="3" t="s">
        <v>35</v>
      </c>
      <c r="G119" s="3" t="n">
        <v>11</v>
      </c>
      <c r="H119" s="3" t="n">
        <v>8999</v>
      </c>
    </row>
    <row r="120" customFormat="false" ht="15" hidden="false" customHeight="false" outlineLevel="0" collapsed="false">
      <c r="A120" s="3" t="s">
        <v>254</v>
      </c>
      <c r="B120" s="3" t="s">
        <v>255</v>
      </c>
      <c r="C120" s="3" t="s">
        <v>31</v>
      </c>
      <c r="D120" s="3" t="s">
        <v>32</v>
      </c>
      <c r="E120" s="3" t="s">
        <v>41</v>
      </c>
      <c r="F120" s="3" t="s">
        <v>24</v>
      </c>
      <c r="G120" s="3" t="n">
        <v>7</v>
      </c>
      <c r="H120" s="3" t="n">
        <v>1499</v>
      </c>
    </row>
    <row r="121" customFormat="false" ht="15" hidden="false" customHeight="false" outlineLevel="0" collapsed="false">
      <c r="A121" s="3" t="s">
        <v>256</v>
      </c>
      <c r="B121" s="3" t="s">
        <v>257</v>
      </c>
      <c r="C121" s="3" t="s">
        <v>16</v>
      </c>
      <c r="D121" s="3" t="s">
        <v>12</v>
      </c>
      <c r="E121" s="3" t="s">
        <v>13</v>
      </c>
      <c r="F121" s="3" t="s">
        <v>24</v>
      </c>
      <c r="G121" s="3" t="n">
        <v>2</v>
      </c>
      <c r="H121" s="3" t="n">
        <v>2499</v>
      </c>
    </row>
    <row r="122" customFormat="false" ht="15" hidden="false" customHeight="false" outlineLevel="0" collapsed="false">
      <c r="A122" s="3" t="s">
        <v>258</v>
      </c>
      <c r="B122" s="3" t="s">
        <v>259</v>
      </c>
      <c r="C122" s="3" t="s">
        <v>75</v>
      </c>
      <c r="D122" s="3" t="s">
        <v>32</v>
      </c>
      <c r="E122" s="3" t="s">
        <v>23</v>
      </c>
      <c r="F122" s="3" t="s">
        <v>24</v>
      </c>
      <c r="G122" s="3" t="n">
        <v>7</v>
      </c>
      <c r="H122" s="3" t="n">
        <v>8999</v>
      </c>
    </row>
    <row r="123" customFormat="false" ht="15" hidden="false" customHeight="false" outlineLevel="0" collapsed="false">
      <c r="A123" s="3" t="s">
        <v>260</v>
      </c>
      <c r="B123" s="3" t="s">
        <v>261</v>
      </c>
      <c r="C123" s="3" t="s">
        <v>105</v>
      </c>
      <c r="D123" s="3" t="s">
        <v>32</v>
      </c>
      <c r="E123" s="3" t="s">
        <v>23</v>
      </c>
      <c r="F123" s="3" t="s">
        <v>28</v>
      </c>
      <c r="G123" s="3" t="n">
        <v>10</v>
      </c>
      <c r="H123" s="3" t="n">
        <v>1799</v>
      </c>
    </row>
    <row r="124" customFormat="false" ht="15" hidden="false" customHeight="false" outlineLevel="0" collapsed="false">
      <c r="A124" s="3" t="s">
        <v>262</v>
      </c>
      <c r="B124" s="3" t="s">
        <v>92</v>
      </c>
      <c r="C124" s="3" t="s">
        <v>93</v>
      </c>
      <c r="D124" s="3" t="s">
        <v>12</v>
      </c>
      <c r="E124" s="3" t="s">
        <v>13</v>
      </c>
      <c r="F124" s="3" t="s">
        <v>28</v>
      </c>
      <c r="G124" s="3" t="n">
        <v>7</v>
      </c>
      <c r="H124" s="3" t="n">
        <v>1299</v>
      </c>
    </row>
    <row r="125" customFormat="false" ht="15" hidden="false" customHeight="false" outlineLevel="0" collapsed="false">
      <c r="A125" s="3" t="s">
        <v>263</v>
      </c>
      <c r="B125" s="3" t="s">
        <v>264</v>
      </c>
      <c r="C125" s="3" t="s">
        <v>38</v>
      </c>
      <c r="D125" s="3" t="s">
        <v>32</v>
      </c>
      <c r="E125" s="3" t="s">
        <v>23</v>
      </c>
      <c r="F125" s="3" t="s">
        <v>18</v>
      </c>
      <c r="G125" s="3" t="n">
        <v>5</v>
      </c>
      <c r="H125" s="3" t="n">
        <v>1999</v>
      </c>
    </row>
    <row r="126" customFormat="false" ht="15" hidden="false" customHeight="false" outlineLevel="0" collapsed="false">
      <c r="A126" s="3" t="s">
        <v>265</v>
      </c>
      <c r="B126" s="3" t="s">
        <v>170</v>
      </c>
      <c r="C126" s="3" t="s">
        <v>55</v>
      </c>
      <c r="D126" s="3" t="s">
        <v>12</v>
      </c>
      <c r="E126" s="3" t="s">
        <v>13</v>
      </c>
      <c r="F126" s="3" t="s">
        <v>35</v>
      </c>
      <c r="G126" s="3" t="n">
        <v>6</v>
      </c>
      <c r="H126" s="3" t="n">
        <v>299</v>
      </c>
    </row>
    <row r="127" customFormat="false" ht="15" hidden="false" customHeight="false" outlineLevel="0" collapsed="false">
      <c r="A127" s="3" t="s">
        <v>266</v>
      </c>
      <c r="B127" s="3" t="s">
        <v>220</v>
      </c>
      <c r="C127" s="3" t="s">
        <v>38</v>
      </c>
      <c r="D127" s="3" t="s">
        <v>32</v>
      </c>
      <c r="E127" s="3" t="s">
        <v>13</v>
      </c>
      <c r="F127" s="3" t="s">
        <v>35</v>
      </c>
      <c r="G127" s="3" t="n">
        <v>10</v>
      </c>
      <c r="H127" s="3" t="n">
        <v>1999</v>
      </c>
    </row>
    <row r="128" customFormat="false" ht="15" hidden="false" customHeight="false" outlineLevel="0" collapsed="false">
      <c r="A128" s="3" t="s">
        <v>267</v>
      </c>
      <c r="B128" s="3" t="s">
        <v>268</v>
      </c>
      <c r="C128" s="3" t="s">
        <v>16</v>
      </c>
      <c r="D128" s="3" t="s">
        <v>12</v>
      </c>
      <c r="E128" s="3" t="s">
        <v>56</v>
      </c>
      <c r="F128" s="3" t="s">
        <v>28</v>
      </c>
      <c r="G128" s="4"/>
      <c r="H128" s="3" t="n">
        <v>2499</v>
      </c>
    </row>
    <row r="129" customFormat="false" ht="15" hidden="false" customHeight="false" outlineLevel="0" collapsed="false">
      <c r="A129" s="3" t="s">
        <v>269</v>
      </c>
      <c r="B129" s="3" t="s">
        <v>270</v>
      </c>
      <c r="C129" s="3" t="s">
        <v>45</v>
      </c>
      <c r="D129" s="3" t="s">
        <v>12</v>
      </c>
      <c r="E129" s="3" t="s">
        <v>56</v>
      </c>
      <c r="F129" s="3" t="s">
        <v>35</v>
      </c>
      <c r="G129" s="3" t="n">
        <v>13</v>
      </c>
      <c r="H129" s="3" t="n">
        <v>499</v>
      </c>
    </row>
    <row r="130" customFormat="false" ht="15" hidden="false" customHeight="false" outlineLevel="0" collapsed="false">
      <c r="A130" s="3" t="s">
        <v>271</v>
      </c>
      <c r="B130" s="3" t="s">
        <v>272</v>
      </c>
      <c r="C130" s="3" t="s">
        <v>75</v>
      </c>
      <c r="D130" s="3" t="s">
        <v>32</v>
      </c>
      <c r="E130" s="3" t="s">
        <v>41</v>
      </c>
      <c r="F130" s="3" t="s">
        <v>42</v>
      </c>
      <c r="G130" s="3" t="n">
        <v>4</v>
      </c>
      <c r="H130" s="3" t="n">
        <v>8999</v>
      </c>
    </row>
    <row r="131" customFormat="false" ht="15" hidden="false" customHeight="false" outlineLevel="0" collapsed="false">
      <c r="A131" s="3" t="s">
        <v>273</v>
      </c>
      <c r="B131" s="3" t="s">
        <v>274</v>
      </c>
      <c r="C131" s="3" t="s">
        <v>16</v>
      </c>
      <c r="D131" s="3" t="s">
        <v>12</v>
      </c>
      <c r="E131" s="3" t="s">
        <v>13</v>
      </c>
      <c r="F131" s="3" t="s">
        <v>18</v>
      </c>
      <c r="G131" s="3" t="n">
        <v>7</v>
      </c>
      <c r="H131" s="3" t="n">
        <v>2499</v>
      </c>
    </row>
    <row r="132" customFormat="false" ht="15" hidden="false" customHeight="false" outlineLevel="0" collapsed="false">
      <c r="A132" s="3" t="s">
        <v>275</v>
      </c>
      <c r="B132" s="3" t="s">
        <v>276</v>
      </c>
      <c r="C132" s="3" t="s">
        <v>31</v>
      </c>
      <c r="D132" s="3" t="s">
        <v>32</v>
      </c>
      <c r="E132" s="3" t="s">
        <v>113</v>
      </c>
      <c r="F132" s="3" t="s">
        <v>42</v>
      </c>
      <c r="G132" s="3" t="n">
        <v>1</v>
      </c>
      <c r="H132" s="3" t="n">
        <v>1499</v>
      </c>
    </row>
    <row r="133" customFormat="false" ht="15" hidden="false" customHeight="false" outlineLevel="0" collapsed="false">
      <c r="A133" s="3" t="s">
        <v>277</v>
      </c>
      <c r="B133" s="3" t="s">
        <v>278</v>
      </c>
      <c r="C133" s="3" t="s">
        <v>21</v>
      </c>
      <c r="D133" s="3" t="s">
        <v>22</v>
      </c>
      <c r="E133" s="3" t="s">
        <v>41</v>
      </c>
      <c r="F133" s="3" t="s">
        <v>24</v>
      </c>
      <c r="G133" s="3" t="n">
        <v>12</v>
      </c>
      <c r="H133" s="3" t="n">
        <v>699</v>
      </c>
    </row>
    <row r="134" customFormat="false" ht="15" hidden="false" customHeight="false" outlineLevel="0" collapsed="false">
      <c r="A134" s="3" t="s">
        <v>279</v>
      </c>
      <c r="B134" s="3" t="s">
        <v>280</v>
      </c>
      <c r="C134" s="3" t="s">
        <v>21</v>
      </c>
      <c r="D134" s="3" t="s">
        <v>22</v>
      </c>
      <c r="E134" s="3" t="s">
        <v>23</v>
      </c>
      <c r="F134" s="3" t="s">
        <v>18</v>
      </c>
      <c r="G134" s="3" t="n">
        <v>1</v>
      </c>
      <c r="H134" s="3" t="n">
        <v>699</v>
      </c>
    </row>
    <row r="135" customFormat="false" ht="15" hidden="false" customHeight="false" outlineLevel="0" collapsed="false">
      <c r="A135" s="3" t="s">
        <v>281</v>
      </c>
      <c r="B135" s="3" t="s">
        <v>282</v>
      </c>
      <c r="C135" s="3" t="s">
        <v>55</v>
      </c>
      <c r="D135" s="3" t="s">
        <v>12</v>
      </c>
      <c r="E135" s="3" t="s">
        <v>13</v>
      </c>
      <c r="F135" s="3" t="s">
        <v>28</v>
      </c>
      <c r="G135" s="3" t="n">
        <v>1</v>
      </c>
      <c r="H135" s="3" t="n">
        <v>299</v>
      </c>
    </row>
    <row r="136" customFormat="false" ht="15" hidden="false" customHeight="false" outlineLevel="0" collapsed="false">
      <c r="A136" s="3" t="s">
        <v>283</v>
      </c>
      <c r="B136" s="3" t="s">
        <v>72</v>
      </c>
      <c r="C136" s="3" t="s">
        <v>38</v>
      </c>
      <c r="D136" s="3" t="s">
        <v>32</v>
      </c>
      <c r="E136" s="3" t="s">
        <v>23</v>
      </c>
      <c r="F136" s="3" t="s">
        <v>35</v>
      </c>
      <c r="G136" s="3" t="n">
        <v>8</v>
      </c>
      <c r="H136" s="3" t="n">
        <v>1999</v>
      </c>
    </row>
    <row r="137" customFormat="false" ht="15" hidden="false" customHeight="false" outlineLevel="0" collapsed="false">
      <c r="A137" s="3" t="s">
        <v>284</v>
      </c>
      <c r="B137" s="3" t="s">
        <v>285</v>
      </c>
      <c r="C137" s="3" t="s">
        <v>21</v>
      </c>
      <c r="D137" s="3" t="s">
        <v>22</v>
      </c>
      <c r="E137" s="3" t="s">
        <v>13</v>
      </c>
      <c r="F137" s="3" t="s">
        <v>28</v>
      </c>
      <c r="G137" s="3" t="n">
        <v>6</v>
      </c>
      <c r="H137" s="3" t="n">
        <v>699</v>
      </c>
    </row>
    <row r="138" customFormat="false" ht="15" hidden="false" customHeight="false" outlineLevel="0" collapsed="false">
      <c r="A138" s="3" t="s">
        <v>286</v>
      </c>
      <c r="B138" s="3" t="s">
        <v>287</v>
      </c>
      <c r="C138" s="3" t="s">
        <v>27</v>
      </c>
      <c r="D138" s="3" t="s">
        <v>22</v>
      </c>
      <c r="E138" s="3" t="s">
        <v>56</v>
      </c>
      <c r="F138" s="3" t="s">
        <v>42</v>
      </c>
      <c r="G138" s="3" t="n">
        <v>8</v>
      </c>
      <c r="H138" s="3" t="n">
        <v>899</v>
      </c>
    </row>
    <row r="139" customFormat="false" ht="15" hidden="false" customHeight="false" outlineLevel="0" collapsed="false">
      <c r="A139" s="3" t="s">
        <v>288</v>
      </c>
      <c r="B139" s="3" t="s">
        <v>289</v>
      </c>
      <c r="C139" s="3" t="s">
        <v>93</v>
      </c>
      <c r="D139" s="3" t="s">
        <v>12</v>
      </c>
      <c r="E139" s="3" t="s">
        <v>13</v>
      </c>
      <c r="F139" s="4"/>
      <c r="G139" s="3" t="n">
        <v>9</v>
      </c>
      <c r="H139" s="3" t="n">
        <v>1299</v>
      </c>
    </row>
    <row r="140" customFormat="false" ht="15" hidden="false" customHeight="false" outlineLevel="0" collapsed="false">
      <c r="A140" s="3" t="s">
        <v>290</v>
      </c>
      <c r="B140" s="3" t="s">
        <v>291</v>
      </c>
      <c r="C140" s="3" t="s">
        <v>38</v>
      </c>
      <c r="D140" s="3" t="s">
        <v>32</v>
      </c>
      <c r="E140" s="3" t="s">
        <v>23</v>
      </c>
      <c r="F140" s="3" t="s">
        <v>42</v>
      </c>
      <c r="G140" s="3" t="n">
        <v>7</v>
      </c>
      <c r="H140" s="3" t="n">
        <v>1999</v>
      </c>
    </row>
    <row r="141" customFormat="false" ht="15" hidden="false" customHeight="false" outlineLevel="0" collapsed="false">
      <c r="A141" s="3" t="s">
        <v>292</v>
      </c>
      <c r="B141" s="3" t="s">
        <v>293</v>
      </c>
      <c r="C141" s="3" t="s">
        <v>75</v>
      </c>
      <c r="D141" s="3" t="s">
        <v>32</v>
      </c>
      <c r="E141" s="3" t="s">
        <v>41</v>
      </c>
      <c r="F141" s="3" t="s">
        <v>24</v>
      </c>
      <c r="G141" s="3" t="n">
        <v>13</v>
      </c>
      <c r="H141" s="3" t="n">
        <v>8999</v>
      </c>
    </row>
    <row r="142" customFormat="false" ht="15" hidden="false" customHeight="false" outlineLevel="0" collapsed="false">
      <c r="A142" s="3" t="s">
        <v>294</v>
      </c>
      <c r="B142" s="3" t="s">
        <v>295</v>
      </c>
      <c r="C142" s="3" t="s">
        <v>31</v>
      </c>
      <c r="D142" s="3" t="s">
        <v>32</v>
      </c>
      <c r="E142" s="3" t="s">
        <v>41</v>
      </c>
      <c r="F142" s="3" t="s">
        <v>42</v>
      </c>
      <c r="G142" s="3" t="n">
        <v>3</v>
      </c>
      <c r="H142" s="3" t="n">
        <v>1499</v>
      </c>
    </row>
    <row r="143" customFormat="false" ht="15" hidden="false" customHeight="false" outlineLevel="0" collapsed="false">
      <c r="A143" s="3" t="s">
        <v>296</v>
      </c>
      <c r="B143" s="3" t="s">
        <v>297</v>
      </c>
      <c r="C143" s="3" t="s">
        <v>75</v>
      </c>
      <c r="D143" s="3" t="s">
        <v>32</v>
      </c>
      <c r="E143" s="3" t="s">
        <v>13</v>
      </c>
      <c r="F143" s="3" t="s">
        <v>35</v>
      </c>
      <c r="G143" s="3" t="n">
        <v>10</v>
      </c>
      <c r="H143" s="3" t="n">
        <v>8999</v>
      </c>
    </row>
    <row r="144" customFormat="false" ht="15" hidden="false" customHeight="false" outlineLevel="0" collapsed="false">
      <c r="A144" s="3" t="s">
        <v>298</v>
      </c>
      <c r="B144" s="3" t="s">
        <v>129</v>
      </c>
      <c r="C144" s="3" t="s">
        <v>45</v>
      </c>
      <c r="D144" s="3" t="s">
        <v>12</v>
      </c>
      <c r="E144" s="3" t="s">
        <v>56</v>
      </c>
      <c r="F144" s="3" t="s">
        <v>24</v>
      </c>
      <c r="G144" s="3" t="n">
        <v>1</v>
      </c>
      <c r="H144" s="3" t="n">
        <v>499</v>
      </c>
    </row>
    <row r="145" customFormat="false" ht="15" hidden="false" customHeight="false" outlineLevel="0" collapsed="false">
      <c r="A145" s="3" t="s">
        <v>299</v>
      </c>
      <c r="B145" s="3" t="s">
        <v>300</v>
      </c>
      <c r="C145" s="3" t="s">
        <v>45</v>
      </c>
      <c r="D145" s="3" t="s">
        <v>12</v>
      </c>
      <c r="E145" s="3" t="s">
        <v>56</v>
      </c>
      <c r="F145" s="3" t="s">
        <v>28</v>
      </c>
      <c r="G145" s="3" t="n">
        <v>5</v>
      </c>
      <c r="H145" s="3" t="n">
        <v>499</v>
      </c>
    </row>
    <row r="146" customFormat="false" ht="15" hidden="false" customHeight="false" outlineLevel="0" collapsed="false">
      <c r="A146" s="3" t="s">
        <v>301</v>
      </c>
      <c r="B146" s="3" t="s">
        <v>302</v>
      </c>
      <c r="C146" s="3" t="s">
        <v>105</v>
      </c>
      <c r="D146" s="3" t="s">
        <v>32</v>
      </c>
      <c r="E146" s="3" t="s">
        <v>56</v>
      </c>
      <c r="F146" s="3" t="s">
        <v>42</v>
      </c>
      <c r="G146" s="3" t="n">
        <v>8</v>
      </c>
      <c r="H146" s="3" t="n">
        <v>1799</v>
      </c>
    </row>
    <row r="147" customFormat="false" ht="15" hidden="false" customHeight="false" outlineLevel="0" collapsed="false">
      <c r="A147" s="3" t="s">
        <v>303</v>
      </c>
      <c r="B147" s="3" t="s">
        <v>304</v>
      </c>
      <c r="C147" s="3" t="s">
        <v>75</v>
      </c>
      <c r="D147" s="3" t="s">
        <v>32</v>
      </c>
      <c r="E147" s="3" t="s">
        <v>13</v>
      </c>
      <c r="F147" s="3" t="s">
        <v>28</v>
      </c>
      <c r="G147" s="3" t="n">
        <v>6</v>
      </c>
      <c r="H147" s="3" t="n">
        <v>8999</v>
      </c>
    </row>
    <row r="148" customFormat="false" ht="15" hidden="false" customHeight="false" outlineLevel="0" collapsed="false">
      <c r="A148" s="3" t="s">
        <v>305</v>
      </c>
      <c r="B148" s="3" t="s">
        <v>306</v>
      </c>
      <c r="C148" s="3" t="s">
        <v>75</v>
      </c>
      <c r="D148" s="3" t="s">
        <v>32</v>
      </c>
      <c r="E148" s="3" t="s">
        <v>41</v>
      </c>
      <c r="F148" s="3" t="s">
        <v>35</v>
      </c>
      <c r="G148" s="3" t="n">
        <v>6</v>
      </c>
      <c r="H148" s="3" t="n">
        <v>8999</v>
      </c>
    </row>
    <row r="149" customFormat="false" ht="15" hidden="false" customHeight="false" outlineLevel="0" collapsed="false">
      <c r="A149" s="3" t="s">
        <v>307</v>
      </c>
      <c r="B149" s="3" t="s">
        <v>115</v>
      </c>
      <c r="C149" s="3" t="s">
        <v>16</v>
      </c>
      <c r="D149" s="3" t="s">
        <v>12</v>
      </c>
      <c r="E149" s="3" t="s">
        <v>56</v>
      </c>
      <c r="F149" s="3" t="s">
        <v>35</v>
      </c>
      <c r="G149" s="3" t="n">
        <v>6</v>
      </c>
      <c r="H149" s="3" t="n">
        <v>2499</v>
      </c>
    </row>
    <row r="150" customFormat="false" ht="15" hidden="false" customHeight="false" outlineLevel="0" collapsed="false">
      <c r="A150" s="3" t="s">
        <v>308</v>
      </c>
      <c r="B150" s="3" t="s">
        <v>255</v>
      </c>
      <c r="C150" s="3" t="s">
        <v>31</v>
      </c>
      <c r="D150" s="3" t="s">
        <v>32</v>
      </c>
      <c r="E150" s="3" t="s">
        <v>56</v>
      </c>
      <c r="F150" s="3" t="s">
        <v>28</v>
      </c>
      <c r="G150" s="3" t="n">
        <v>1</v>
      </c>
      <c r="H150" s="3" t="n">
        <v>1499</v>
      </c>
    </row>
    <row r="151" customFormat="false" ht="15" hidden="false" customHeight="false" outlineLevel="0" collapsed="false">
      <c r="A151" s="3" t="s">
        <v>309</v>
      </c>
      <c r="B151" s="3" t="s">
        <v>310</v>
      </c>
      <c r="C151" s="3" t="s">
        <v>55</v>
      </c>
      <c r="D151" s="3" t="s">
        <v>12</v>
      </c>
      <c r="E151" s="3" t="s">
        <v>311</v>
      </c>
      <c r="F151" s="3" t="s">
        <v>42</v>
      </c>
      <c r="G151" s="3" t="n">
        <v>9</v>
      </c>
      <c r="H151" s="3" t="n">
        <v>299</v>
      </c>
    </row>
    <row r="152" customFormat="false" ht="15" hidden="false" customHeight="false" outlineLevel="0" collapsed="false">
      <c r="A152" s="3" t="s">
        <v>312</v>
      </c>
      <c r="B152" s="3" t="s">
        <v>313</v>
      </c>
      <c r="C152" s="3" t="s">
        <v>27</v>
      </c>
      <c r="D152" s="3" t="s">
        <v>22</v>
      </c>
      <c r="E152" s="3" t="s">
        <v>13</v>
      </c>
      <c r="F152" s="3" t="s">
        <v>28</v>
      </c>
      <c r="G152" s="3" t="n">
        <v>14</v>
      </c>
      <c r="H152" s="3" t="n">
        <v>899</v>
      </c>
    </row>
    <row r="153" customFormat="false" ht="15" hidden="false" customHeight="false" outlineLevel="0" collapsed="false">
      <c r="A153" s="3" t="s">
        <v>314</v>
      </c>
      <c r="B153" s="3" t="s">
        <v>315</v>
      </c>
      <c r="C153" s="3" t="s">
        <v>45</v>
      </c>
      <c r="D153" s="3" t="s">
        <v>12</v>
      </c>
      <c r="E153" s="3" t="s">
        <v>56</v>
      </c>
      <c r="F153" s="3" t="s">
        <v>18</v>
      </c>
      <c r="G153" s="3" t="n">
        <v>10</v>
      </c>
      <c r="H153" s="3" t="n">
        <v>499</v>
      </c>
    </row>
    <row r="154" customFormat="false" ht="15" hidden="false" customHeight="false" outlineLevel="0" collapsed="false">
      <c r="A154" s="3" t="s">
        <v>316</v>
      </c>
      <c r="B154" s="3" t="s">
        <v>287</v>
      </c>
      <c r="C154" s="3" t="s">
        <v>16</v>
      </c>
      <c r="D154" s="3" t="s">
        <v>12</v>
      </c>
      <c r="E154" s="3" t="s">
        <v>56</v>
      </c>
      <c r="F154" s="3" t="s">
        <v>35</v>
      </c>
      <c r="G154" s="3" t="n">
        <v>11</v>
      </c>
      <c r="H154" s="3" t="n">
        <v>2499</v>
      </c>
    </row>
    <row r="155" customFormat="false" ht="15" hidden="false" customHeight="false" outlineLevel="0" collapsed="false">
      <c r="A155" s="3" t="s">
        <v>317</v>
      </c>
      <c r="B155" s="3" t="s">
        <v>247</v>
      </c>
      <c r="C155" s="3" t="s">
        <v>45</v>
      </c>
      <c r="D155" s="3" t="s">
        <v>12</v>
      </c>
      <c r="E155" s="3" t="s">
        <v>41</v>
      </c>
      <c r="F155" s="3" t="s">
        <v>42</v>
      </c>
      <c r="G155" s="3" t="n">
        <v>10</v>
      </c>
      <c r="H155" s="3" t="n">
        <v>499</v>
      </c>
    </row>
    <row r="156" customFormat="false" ht="15" hidden="false" customHeight="false" outlineLevel="0" collapsed="false">
      <c r="A156" s="3" t="s">
        <v>318</v>
      </c>
      <c r="B156" s="3" t="s">
        <v>319</v>
      </c>
      <c r="C156" s="3" t="s">
        <v>93</v>
      </c>
      <c r="D156" s="3" t="s">
        <v>12</v>
      </c>
      <c r="E156" s="3" t="s">
        <v>56</v>
      </c>
      <c r="F156" s="3" t="s">
        <v>42</v>
      </c>
      <c r="G156" s="3" t="n">
        <v>4</v>
      </c>
      <c r="H156" s="3" t="n">
        <v>1299</v>
      </c>
    </row>
    <row r="157" customFormat="false" ht="15" hidden="false" customHeight="false" outlineLevel="0" collapsed="false">
      <c r="A157" s="3" t="s">
        <v>320</v>
      </c>
      <c r="B157" s="3" t="s">
        <v>321</v>
      </c>
      <c r="C157" s="3" t="s">
        <v>38</v>
      </c>
      <c r="D157" s="3" t="s">
        <v>32</v>
      </c>
      <c r="E157" s="3" t="s">
        <v>13</v>
      </c>
      <c r="F157" s="3" t="s">
        <v>24</v>
      </c>
      <c r="G157" s="3" t="n">
        <v>2</v>
      </c>
      <c r="H157" s="3" t="n">
        <v>1999</v>
      </c>
    </row>
    <row r="158" customFormat="false" ht="15" hidden="false" customHeight="false" outlineLevel="0" collapsed="false">
      <c r="A158" s="3" t="s">
        <v>322</v>
      </c>
      <c r="B158" s="3" t="s">
        <v>323</v>
      </c>
      <c r="C158" s="3" t="s">
        <v>27</v>
      </c>
      <c r="D158" s="3" t="s">
        <v>22</v>
      </c>
      <c r="E158" s="3" t="s">
        <v>41</v>
      </c>
      <c r="F158" s="3" t="s">
        <v>35</v>
      </c>
      <c r="G158" s="3" t="n">
        <v>13</v>
      </c>
      <c r="H158" s="3" t="n">
        <v>899</v>
      </c>
    </row>
    <row r="159" customFormat="false" ht="15" hidden="false" customHeight="false" outlineLevel="0" collapsed="false">
      <c r="A159" s="3" t="s">
        <v>324</v>
      </c>
      <c r="B159" s="3" t="s">
        <v>325</v>
      </c>
      <c r="C159" s="3" t="s">
        <v>93</v>
      </c>
      <c r="D159" s="3" t="s">
        <v>12</v>
      </c>
      <c r="E159" s="3" t="s">
        <v>23</v>
      </c>
      <c r="F159" s="3" t="s">
        <v>42</v>
      </c>
      <c r="G159" s="3" t="n">
        <v>13</v>
      </c>
      <c r="H159" s="3" t="n">
        <v>1299</v>
      </c>
    </row>
    <row r="160" customFormat="false" ht="15" hidden="false" customHeight="false" outlineLevel="0" collapsed="false">
      <c r="A160" s="3" t="s">
        <v>326</v>
      </c>
      <c r="B160" s="3" t="s">
        <v>133</v>
      </c>
      <c r="C160" s="3" t="s">
        <v>21</v>
      </c>
      <c r="D160" s="3" t="s">
        <v>22</v>
      </c>
      <c r="E160" s="3" t="s">
        <v>23</v>
      </c>
      <c r="F160" s="3" t="s">
        <v>18</v>
      </c>
      <c r="G160" s="3" t="n">
        <v>3</v>
      </c>
      <c r="H160" s="3" t="n">
        <v>699</v>
      </c>
    </row>
    <row r="161" customFormat="false" ht="15" hidden="false" customHeight="false" outlineLevel="0" collapsed="false">
      <c r="A161" s="3" t="s">
        <v>327</v>
      </c>
      <c r="B161" s="3" t="s">
        <v>328</v>
      </c>
      <c r="C161" s="3" t="s">
        <v>93</v>
      </c>
      <c r="D161" s="3" t="s">
        <v>12</v>
      </c>
      <c r="E161" s="3" t="s">
        <v>41</v>
      </c>
      <c r="F161" s="3" t="s">
        <v>24</v>
      </c>
      <c r="G161" s="3" t="n">
        <v>8</v>
      </c>
      <c r="H161" s="3" t="n">
        <v>1299</v>
      </c>
    </row>
    <row r="162" customFormat="false" ht="15" hidden="false" customHeight="false" outlineLevel="0" collapsed="false">
      <c r="A162" s="3" t="s">
        <v>329</v>
      </c>
      <c r="B162" s="3" t="s">
        <v>330</v>
      </c>
      <c r="C162" s="3" t="s">
        <v>16</v>
      </c>
      <c r="D162" s="3" t="s">
        <v>12</v>
      </c>
      <c r="E162" s="3" t="s">
        <v>41</v>
      </c>
      <c r="F162" s="3" t="s">
        <v>24</v>
      </c>
      <c r="G162" s="3" t="n">
        <v>13</v>
      </c>
      <c r="H162" s="3" t="n">
        <v>2499</v>
      </c>
    </row>
    <row r="163" customFormat="false" ht="15" hidden="false" customHeight="false" outlineLevel="0" collapsed="false">
      <c r="A163" s="3" t="s">
        <v>331</v>
      </c>
      <c r="B163" s="3" t="s">
        <v>332</v>
      </c>
      <c r="C163" s="3" t="s">
        <v>105</v>
      </c>
      <c r="D163" s="3" t="s">
        <v>32</v>
      </c>
      <c r="E163" s="3" t="s">
        <v>56</v>
      </c>
      <c r="F163" s="3" t="s">
        <v>18</v>
      </c>
      <c r="G163" s="3" t="n">
        <v>4</v>
      </c>
      <c r="H163" s="3" t="n">
        <v>1799</v>
      </c>
    </row>
    <row r="164" customFormat="false" ht="15" hidden="false" customHeight="false" outlineLevel="0" collapsed="false">
      <c r="A164" s="3" t="s">
        <v>333</v>
      </c>
      <c r="B164" s="3" t="s">
        <v>334</v>
      </c>
      <c r="C164" s="3" t="s">
        <v>16</v>
      </c>
      <c r="D164" s="3" t="s">
        <v>12</v>
      </c>
      <c r="E164" s="3" t="s">
        <v>13</v>
      </c>
      <c r="F164" s="3" t="s">
        <v>42</v>
      </c>
      <c r="G164" s="3" t="n">
        <v>3</v>
      </c>
      <c r="H164" s="3" t="n">
        <v>2499</v>
      </c>
    </row>
    <row r="165" customFormat="false" ht="15" hidden="false" customHeight="false" outlineLevel="0" collapsed="false">
      <c r="A165" s="3" t="s">
        <v>335</v>
      </c>
      <c r="B165" s="3" t="s">
        <v>336</v>
      </c>
      <c r="C165" s="3" t="s">
        <v>55</v>
      </c>
      <c r="D165" s="3" t="s">
        <v>12</v>
      </c>
      <c r="E165" s="3" t="s">
        <v>23</v>
      </c>
      <c r="F165" s="3" t="s">
        <v>18</v>
      </c>
      <c r="G165" s="3" t="n">
        <v>1</v>
      </c>
      <c r="H165" s="3" t="n">
        <v>299</v>
      </c>
    </row>
    <row r="166" customFormat="false" ht="15" hidden="false" customHeight="false" outlineLevel="0" collapsed="false">
      <c r="A166" s="3" t="s">
        <v>337</v>
      </c>
      <c r="B166" s="3" t="s">
        <v>338</v>
      </c>
      <c r="C166" s="3" t="s">
        <v>45</v>
      </c>
      <c r="D166" s="3" t="s">
        <v>12</v>
      </c>
      <c r="E166" s="3" t="s">
        <v>41</v>
      </c>
      <c r="F166" s="3" t="s">
        <v>35</v>
      </c>
      <c r="G166" s="3" t="n">
        <v>6</v>
      </c>
      <c r="H166" s="3" t="n">
        <v>499</v>
      </c>
    </row>
    <row r="167" customFormat="false" ht="15" hidden="false" customHeight="false" outlineLevel="0" collapsed="false">
      <c r="A167" s="3" t="s">
        <v>339</v>
      </c>
      <c r="B167" s="3" t="s">
        <v>313</v>
      </c>
      <c r="C167" s="3" t="s">
        <v>27</v>
      </c>
      <c r="D167" s="3" t="s">
        <v>22</v>
      </c>
      <c r="E167" s="3" t="s">
        <v>56</v>
      </c>
      <c r="F167" s="3" t="s">
        <v>35</v>
      </c>
      <c r="G167" s="3" t="n">
        <v>13</v>
      </c>
      <c r="H167" s="3" t="n">
        <v>899</v>
      </c>
    </row>
    <row r="168" customFormat="false" ht="15" hidden="false" customHeight="false" outlineLevel="0" collapsed="false">
      <c r="A168" s="3" t="s">
        <v>340</v>
      </c>
      <c r="B168" s="3" t="s">
        <v>341</v>
      </c>
      <c r="C168" s="3" t="s">
        <v>31</v>
      </c>
      <c r="D168" s="3" t="s">
        <v>32</v>
      </c>
      <c r="E168" s="3" t="s">
        <v>13</v>
      </c>
      <c r="F168" s="3" t="s">
        <v>35</v>
      </c>
      <c r="G168" s="3" t="n">
        <v>7</v>
      </c>
      <c r="H168" s="3" t="n">
        <v>1499</v>
      </c>
    </row>
    <row r="169" customFormat="false" ht="15" hidden="false" customHeight="false" outlineLevel="0" collapsed="false">
      <c r="A169" s="3" t="s">
        <v>342</v>
      </c>
      <c r="B169" s="3" t="s">
        <v>343</v>
      </c>
      <c r="C169" s="3" t="s">
        <v>55</v>
      </c>
      <c r="D169" s="3" t="s">
        <v>12</v>
      </c>
      <c r="E169" s="3" t="s">
        <v>41</v>
      </c>
      <c r="F169" s="3" t="s">
        <v>18</v>
      </c>
      <c r="G169" s="3" t="n">
        <v>1</v>
      </c>
      <c r="H169" s="4"/>
    </row>
    <row r="170" customFormat="false" ht="15" hidden="false" customHeight="false" outlineLevel="0" collapsed="false">
      <c r="A170" s="3" t="s">
        <v>344</v>
      </c>
      <c r="B170" s="3" t="s">
        <v>345</v>
      </c>
      <c r="C170" s="3" t="s">
        <v>105</v>
      </c>
      <c r="D170" s="3" t="s">
        <v>32</v>
      </c>
      <c r="E170" s="3" t="s">
        <v>56</v>
      </c>
      <c r="F170" s="3" t="s">
        <v>18</v>
      </c>
      <c r="G170" s="3" t="n">
        <v>4</v>
      </c>
      <c r="H170" s="3" t="n">
        <v>1799</v>
      </c>
    </row>
    <row r="171" customFormat="false" ht="15" hidden="false" customHeight="false" outlineLevel="0" collapsed="false">
      <c r="A171" s="3" t="s">
        <v>346</v>
      </c>
      <c r="B171" s="3" t="s">
        <v>168</v>
      </c>
      <c r="C171" s="3" t="s">
        <v>27</v>
      </c>
      <c r="D171" s="3" t="s">
        <v>22</v>
      </c>
      <c r="E171" s="3" t="s">
        <v>56</v>
      </c>
      <c r="F171" s="3" t="s">
        <v>24</v>
      </c>
      <c r="G171" s="3" t="n">
        <v>13</v>
      </c>
      <c r="H171" s="3" t="n">
        <v>899</v>
      </c>
    </row>
    <row r="172" customFormat="false" ht="15" hidden="false" customHeight="false" outlineLevel="0" collapsed="false">
      <c r="A172" s="3" t="s">
        <v>347</v>
      </c>
      <c r="B172" s="3" t="s">
        <v>348</v>
      </c>
      <c r="C172" s="3" t="s">
        <v>55</v>
      </c>
      <c r="D172" s="3" t="s">
        <v>12</v>
      </c>
      <c r="E172" s="3" t="s">
        <v>56</v>
      </c>
      <c r="F172" s="3" t="s">
        <v>28</v>
      </c>
      <c r="G172" s="3" t="n">
        <v>4</v>
      </c>
      <c r="H172" s="4"/>
    </row>
    <row r="173" customFormat="false" ht="15" hidden="false" customHeight="false" outlineLevel="0" collapsed="false">
      <c r="A173" s="3" t="s">
        <v>349</v>
      </c>
      <c r="B173" s="3" t="s">
        <v>202</v>
      </c>
      <c r="C173" s="3" t="s">
        <v>55</v>
      </c>
      <c r="D173" s="3" t="s">
        <v>12</v>
      </c>
      <c r="E173" s="3" t="s">
        <v>41</v>
      </c>
      <c r="F173" s="3" t="s">
        <v>42</v>
      </c>
      <c r="G173" s="3" t="n">
        <v>2</v>
      </c>
      <c r="H173" s="3" t="n">
        <v>299</v>
      </c>
    </row>
    <row r="174" customFormat="false" ht="15" hidden="false" customHeight="false" outlineLevel="0" collapsed="false">
      <c r="A174" s="3" t="s">
        <v>350</v>
      </c>
      <c r="B174" s="3" t="s">
        <v>351</v>
      </c>
      <c r="C174" s="3" t="s">
        <v>45</v>
      </c>
      <c r="D174" s="3" t="s">
        <v>12</v>
      </c>
      <c r="E174" s="3" t="s">
        <v>23</v>
      </c>
      <c r="F174" s="3" t="s">
        <v>28</v>
      </c>
      <c r="G174" s="3" t="n">
        <v>14</v>
      </c>
      <c r="H174" s="3" t="n">
        <v>499</v>
      </c>
    </row>
    <row r="175" customFormat="false" ht="15" hidden="false" customHeight="false" outlineLevel="0" collapsed="false">
      <c r="A175" s="3" t="s">
        <v>352</v>
      </c>
      <c r="B175" s="3" t="s">
        <v>243</v>
      </c>
      <c r="C175" s="3" t="s">
        <v>45</v>
      </c>
      <c r="D175" s="3" t="s">
        <v>12</v>
      </c>
      <c r="E175" s="3" t="s">
        <v>56</v>
      </c>
      <c r="F175" s="3" t="s">
        <v>35</v>
      </c>
      <c r="G175" s="3" t="n">
        <v>1</v>
      </c>
      <c r="H175" s="3" t="n">
        <v>499</v>
      </c>
    </row>
    <row r="176" customFormat="false" ht="15" hidden="false" customHeight="false" outlineLevel="0" collapsed="false">
      <c r="A176" s="3" t="s">
        <v>353</v>
      </c>
      <c r="B176" s="3" t="s">
        <v>354</v>
      </c>
      <c r="C176" s="3" t="s">
        <v>16</v>
      </c>
      <c r="D176" s="3" t="s">
        <v>12</v>
      </c>
      <c r="E176" s="3" t="s">
        <v>23</v>
      </c>
      <c r="F176" s="3" t="s">
        <v>28</v>
      </c>
      <c r="G176" s="3" t="n">
        <v>5</v>
      </c>
      <c r="H176" s="3" t="n">
        <v>2499</v>
      </c>
    </row>
    <row r="177" customFormat="false" ht="15" hidden="false" customHeight="false" outlineLevel="0" collapsed="false">
      <c r="A177" s="3" t="s">
        <v>355</v>
      </c>
      <c r="B177" s="3" t="s">
        <v>356</v>
      </c>
      <c r="C177" s="3" t="s">
        <v>45</v>
      </c>
      <c r="D177" s="3" t="s">
        <v>12</v>
      </c>
      <c r="E177" s="3" t="s">
        <v>13</v>
      </c>
      <c r="F177" s="3" t="s">
        <v>24</v>
      </c>
      <c r="G177" s="3" t="n">
        <v>14</v>
      </c>
      <c r="H177" s="3" t="n">
        <v>499</v>
      </c>
    </row>
    <row r="178" customFormat="false" ht="15" hidden="false" customHeight="false" outlineLevel="0" collapsed="false">
      <c r="A178" s="3" t="s">
        <v>357</v>
      </c>
      <c r="B178" s="3" t="s">
        <v>358</v>
      </c>
      <c r="C178" s="3" t="s">
        <v>16</v>
      </c>
      <c r="D178" s="3" t="s">
        <v>12</v>
      </c>
      <c r="E178" s="3" t="s">
        <v>13</v>
      </c>
      <c r="F178" s="3" t="s">
        <v>28</v>
      </c>
      <c r="G178" s="3" t="n">
        <v>9</v>
      </c>
      <c r="H178" s="3" t="n">
        <v>2499</v>
      </c>
    </row>
    <row r="179" customFormat="false" ht="15" hidden="false" customHeight="false" outlineLevel="0" collapsed="false">
      <c r="A179" s="3" t="s">
        <v>359</v>
      </c>
      <c r="B179" s="3" t="s">
        <v>360</v>
      </c>
      <c r="C179" s="3" t="s">
        <v>55</v>
      </c>
      <c r="D179" s="3" t="s">
        <v>12</v>
      </c>
      <c r="E179" s="3" t="s">
        <v>23</v>
      </c>
      <c r="F179" s="3" t="s">
        <v>28</v>
      </c>
      <c r="G179" s="3" t="n">
        <v>8</v>
      </c>
      <c r="H179" s="3" t="n">
        <v>299</v>
      </c>
    </row>
    <row r="180" customFormat="false" ht="15" hidden="false" customHeight="false" outlineLevel="0" collapsed="false">
      <c r="A180" s="3" t="s">
        <v>361</v>
      </c>
      <c r="B180" s="3" t="s">
        <v>98</v>
      </c>
      <c r="C180" s="3" t="s">
        <v>27</v>
      </c>
      <c r="D180" s="3" t="s">
        <v>22</v>
      </c>
      <c r="E180" s="3" t="s">
        <v>56</v>
      </c>
      <c r="F180" s="3" t="s">
        <v>42</v>
      </c>
      <c r="G180" s="3" t="n">
        <v>8</v>
      </c>
      <c r="H180" s="3" t="n">
        <v>899</v>
      </c>
    </row>
    <row r="181" customFormat="false" ht="15" hidden="false" customHeight="false" outlineLevel="0" collapsed="false">
      <c r="A181" s="3" t="s">
        <v>362</v>
      </c>
      <c r="B181" s="3" t="s">
        <v>207</v>
      </c>
      <c r="C181" s="3" t="s">
        <v>11</v>
      </c>
      <c r="D181" s="3" t="s">
        <v>12</v>
      </c>
      <c r="E181" s="3" t="s">
        <v>23</v>
      </c>
      <c r="F181" s="3" t="s">
        <v>28</v>
      </c>
      <c r="G181" s="3" t="n">
        <v>12</v>
      </c>
      <c r="H181" s="3" t="n">
        <v>1299</v>
      </c>
    </row>
    <row r="182" customFormat="false" ht="15" hidden="false" customHeight="false" outlineLevel="0" collapsed="false">
      <c r="A182" s="3" t="s">
        <v>363</v>
      </c>
      <c r="B182" s="3" t="s">
        <v>255</v>
      </c>
      <c r="C182" s="3" t="s">
        <v>55</v>
      </c>
      <c r="D182" s="3" t="s">
        <v>12</v>
      </c>
      <c r="E182" s="3" t="s">
        <v>23</v>
      </c>
      <c r="F182" s="3" t="s">
        <v>28</v>
      </c>
      <c r="G182" s="3" t="n">
        <v>5</v>
      </c>
      <c r="H182" s="3" t="n">
        <v>299</v>
      </c>
    </row>
    <row r="183" customFormat="false" ht="15" hidden="false" customHeight="false" outlineLevel="0" collapsed="false">
      <c r="A183" s="3" t="s">
        <v>364</v>
      </c>
      <c r="B183" s="3" t="s">
        <v>365</v>
      </c>
      <c r="C183" s="3" t="s">
        <v>105</v>
      </c>
      <c r="D183" s="3" t="s">
        <v>32</v>
      </c>
      <c r="E183" s="3" t="s">
        <v>13</v>
      </c>
      <c r="F183" s="3" t="s">
        <v>42</v>
      </c>
      <c r="G183" s="3" t="n">
        <v>14</v>
      </c>
      <c r="H183" s="3" t="n">
        <v>1799</v>
      </c>
    </row>
    <row r="184" customFormat="false" ht="15" hidden="false" customHeight="false" outlineLevel="0" collapsed="false">
      <c r="A184" s="3" t="s">
        <v>366</v>
      </c>
      <c r="B184" s="3" t="s">
        <v>274</v>
      </c>
      <c r="C184" s="3" t="s">
        <v>38</v>
      </c>
      <c r="D184" s="3" t="s">
        <v>32</v>
      </c>
      <c r="E184" s="3" t="s">
        <v>56</v>
      </c>
      <c r="F184" s="3" t="s">
        <v>42</v>
      </c>
      <c r="G184" s="3" t="n">
        <v>6</v>
      </c>
      <c r="H184" s="3" t="n">
        <v>1999</v>
      </c>
    </row>
    <row r="185" customFormat="false" ht="15" hidden="false" customHeight="false" outlineLevel="0" collapsed="false">
      <c r="A185" s="3" t="s">
        <v>367</v>
      </c>
      <c r="B185" s="3" t="s">
        <v>368</v>
      </c>
      <c r="C185" s="3" t="s">
        <v>38</v>
      </c>
      <c r="D185" s="3" t="s">
        <v>32</v>
      </c>
      <c r="E185" s="3" t="s">
        <v>56</v>
      </c>
      <c r="F185" s="3" t="s">
        <v>18</v>
      </c>
      <c r="G185" s="3" t="n">
        <v>2</v>
      </c>
      <c r="H185" s="3" t="n">
        <v>1999</v>
      </c>
    </row>
    <row r="186" customFormat="false" ht="15" hidden="false" customHeight="false" outlineLevel="0" collapsed="false">
      <c r="A186" s="3" t="s">
        <v>369</v>
      </c>
      <c r="B186" s="3" t="s">
        <v>370</v>
      </c>
      <c r="C186" s="3" t="s">
        <v>38</v>
      </c>
      <c r="D186" s="3" t="s">
        <v>32</v>
      </c>
      <c r="E186" s="3" t="s">
        <v>41</v>
      </c>
      <c r="F186" s="3" t="s">
        <v>42</v>
      </c>
      <c r="G186" s="3" t="n">
        <v>14</v>
      </c>
      <c r="H186" s="3" t="n">
        <v>1999</v>
      </c>
    </row>
    <row r="187" customFormat="false" ht="15" hidden="false" customHeight="false" outlineLevel="0" collapsed="false">
      <c r="A187" s="3" t="s">
        <v>371</v>
      </c>
      <c r="B187" s="3" t="s">
        <v>372</v>
      </c>
      <c r="C187" s="3" t="s">
        <v>31</v>
      </c>
      <c r="D187" s="3" t="s">
        <v>32</v>
      </c>
      <c r="E187" s="3" t="s">
        <v>23</v>
      </c>
      <c r="F187" s="3" t="s">
        <v>28</v>
      </c>
      <c r="G187" s="3" t="n">
        <v>4</v>
      </c>
      <c r="H187" s="3" t="n">
        <v>1499</v>
      </c>
    </row>
    <row r="188" customFormat="false" ht="15" hidden="false" customHeight="false" outlineLevel="0" collapsed="false">
      <c r="A188" s="3" t="s">
        <v>373</v>
      </c>
      <c r="B188" s="3" t="s">
        <v>84</v>
      </c>
      <c r="C188" s="3" t="s">
        <v>93</v>
      </c>
      <c r="D188" s="3" t="s">
        <v>12</v>
      </c>
      <c r="E188" s="3" t="s">
        <v>41</v>
      </c>
      <c r="F188" s="3" t="s">
        <v>18</v>
      </c>
      <c r="G188" s="3" t="n">
        <v>4</v>
      </c>
      <c r="H188" s="3" t="n">
        <v>1299</v>
      </c>
    </row>
    <row r="189" customFormat="false" ht="15" hidden="false" customHeight="false" outlineLevel="0" collapsed="false">
      <c r="A189" s="3" t="s">
        <v>374</v>
      </c>
      <c r="B189" s="3" t="s">
        <v>34</v>
      </c>
      <c r="C189" s="3" t="s">
        <v>105</v>
      </c>
      <c r="D189" s="3" t="s">
        <v>32</v>
      </c>
      <c r="E189" s="3" t="s">
        <v>41</v>
      </c>
      <c r="F189" s="3" t="s">
        <v>24</v>
      </c>
      <c r="G189" s="3" t="n">
        <v>14</v>
      </c>
      <c r="H189" s="3" t="n">
        <v>1799</v>
      </c>
    </row>
    <row r="190" customFormat="false" ht="15" hidden="false" customHeight="false" outlineLevel="0" collapsed="false">
      <c r="A190" s="3" t="s">
        <v>375</v>
      </c>
      <c r="B190" s="3" t="s">
        <v>376</v>
      </c>
      <c r="C190" s="3" t="s">
        <v>105</v>
      </c>
      <c r="D190" s="3" t="s">
        <v>32</v>
      </c>
      <c r="E190" s="3" t="s">
        <v>41</v>
      </c>
      <c r="F190" s="3" t="s">
        <v>42</v>
      </c>
      <c r="G190" s="3" t="n">
        <v>11</v>
      </c>
      <c r="H190" s="3" t="n">
        <v>1799</v>
      </c>
    </row>
    <row r="191" customFormat="false" ht="15" hidden="false" customHeight="false" outlineLevel="0" collapsed="false">
      <c r="A191" s="3" t="s">
        <v>377</v>
      </c>
      <c r="B191" s="3" t="s">
        <v>378</v>
      </c>
      <c r="C191" s="3" t="s">
        <v>16</v>
      </c>
      <c r="D191" s="3" t="s">
        <v>12</v>
      </c>
      <c r="E191" s="3" t="s">
        <v>23</v>
      </c>
      <c r="F191" s="3" t="s">
        <v>42</v>
      </c>
      <c r="G191" s="3" t="n">
        <v>12</v>
      </c>
      <c r="H191" s="3" t="n">
        <v>2499</v>
      </c>
    </row>
    <row r="192" customFormat="false" ht="15" hidden="false" customHeight="false" outlineLevel="0" collapsed="false">
      <c r="A192" s="3" t="s">
        <v>379</v>
      </c>
      <c r="B192" s="3" t="s">
        <v>380</v>
      </c>
      <c r="C192" s="3" t="s">
        <v>27</v>
      </c>
      <c r="D192" s="3" t="s">
        <v>22</v>
      </c>
      <c r="E192" s="3" t="s">
        <v>56</v>
      </c>
      <c r="F192" s="3" t="s">
        <v>35</v>
      </c>
      <c r="G192" s="3" t="n">
        <v>14</v>
      </c>
      <c r="H192" s="3" t="n">
        <v>899</v>
      </c>
    </row>
    <row r="193" customFormat="false" ht="15" hidden="false" customHeight="false" outlineLevel="0" collapsed="false">
      <c r="A193" s="3" t="s">
        <v>381</v>
      </c>
      <c r="B193" s="3" t="s">
        <v>382</v>
      </c>
      <c r="C193" s="3" t="s">
        <v>383</v>
      </c>
      <c r="D193" s="3" t="s">
        <v>12</v>
      </c>
      <c r="E193" s="3" t="s">
        <v>13</v>
      </c>
      <c r="F193" s="3" t="s">
        <v>28</v>
      </c>
      <c r="G193" s="3" t="n">
        <v>6</v>
      </c>
      <c r="H193" s="3" t="n">
        <v>2499</v>
      </c>
    </row>
    <row r="194" customFormat="false" ht="15" hidden="false" customHeight="false" outlineLevel="0" collapsed="false">
      <c r="A194" s="3" t="s">
        <v>384</v>
      </c>
      <c r="B194" s="3" t="s">
        <v>176</v>
      </c>
      <c r="C194" s="3" t="s">
        <v>38</v>
      </c>
      <c r="D194" s="3" t="s">
        <v>32</v>
      </c>
      <c r="E194" s="3" t="s">
        <v>48</v>
      </c>
      <c r="F194" s="3" t="s">
        <v>35</v>
      </c>
      <c r="G194" s="3" t="n">
        <v>9</v>
      </c>
      <c r="H194" s="3" t="n">
        <v>1999</v>
      </c>
    </row>
    <row r="195" customFormat="false" ht="15" hidden="false" customHeight="false" outlineLevel="0" collapsed="false">
      <c r="A195" s="3" t="s">
        <v>385</v>
      </c>
      <c r="B195" s="3" t="s">
        <v>386</v>
      </c>
      <c r="C195" s="3" t="s">
        <v>45</v>
      </c>
      <c r="D195" s="3" t="s">
        <v>12</v>
      </c>
      <c r="E195" s="3" t="s">
        <v>23</v>
      </c>
      <c r="F195" s="3" t="s">
        <v>42</v>
      </c>
      <c r="G195" s="3" t="n">
        <v>3</v>
      </c>
      <c r="H195" s="3" t="n">
        <v>499</v>
      </c>
    </row>
    <row r="196" customFormat="false" ht="15" hidden="false" customHeight="false" outlineLevel="0" collapsed="false">
      <c r="A196" s="3" t="s">
        <v>387</v>
      </c>
      <c r="B196" s="3" t="s">
        <v>388</v>
      </c>
      <c r="C196" s="3" t="s">
        <v>38</v>
      </c>
      <c r="D196" s="3" t="s">
        <v>32</v>
      </c>
      <c r="E196" s="3" t="s">
        <v>13</v>
      </c>
      <c r="F196" s="3" t="s">
        <v>42</v>
      </c>
      <c r="G196" s="3" t="n">
        <v>11</v>
      </c>
      <c r="H196" s="3" t="n">
        <v>1999</v>
      </c>
    </row>
    <row r="197" customFormat="false" ht="15" hidden="false" customHeight="false" outlineLevel="0" collapsed="false">
      <c r="A197" s="3" t="s">
        <v>389</v>
      </c>
      <c r="B197" s="3" t="s">
        <v>390</v>
      </c>
      <c r="C197" s="3" t="s">
        <v>105</v>
      </c>
      <c r="D197" s="3" t="s">
        <v>32</v>
      </c>
      <c r="E197" s="3" t="s">
        <v>56</v>
      </c>
      <c r="F197" s="3" t="s">
        <v>42</v>
      </c>
      <c r="G197" s="3" t="n">
        <v>8</v>
      </c>
      <c r="H197" s="3" t="n">
        <v>1799</v>
      </c>
    </row>
    <row r="198" customFormat="false" ht="15" hidden="false" customHeight="false" outlineLevel="0" collapsed="false">
      <c r="A198" s="3" t="s">
        <v>391</v>
      </c>
      <c r="B198" s="3" t="s">
        <v>392</v>
      </c>
      <c r="C198" s="3" t="s">
        <v>75</v>
      </c>
      <c r="D198" s="3" t="s">
        <v>32</v>
      </c>
      <c r="E198" s="3" t="s">
        <v>23</v>
      </c>
      <c r="F198" s="3" t="s">
        <v>18</v>
      </c>
      <c r="G198" s="3" t="n">
        <v>6</v>
      </c>
      <c r="H198" s="3" t="n">
        <v>8999</v>
      </c>
    </row>
    <row r="199" customFormat="false" ht="15" hidden="false" customHeight="false" outlineLevel="0" collapsed="false">
      <c r="A199" s="3" t="s">
        <v>393</v>
      </c>
      <c r="B199" s="3" t="s">
        <v>394</v>
      </c>
      <c r="C199" s="3" t="s">
        <v>105</v>
      </c>
      <c r="D199" s="3" t="s">
        <v>32</v>
      </c>
      <c r="E199" s="3" t="s">
        <v>13</v>
      </c>
      <c r="F199" s="3" t="s">
        <v>28</v>
      </c>
      <c r="G199" s="3" t="n">
        <v>10</v>
      </c>
      <c r="H199" s="3" t="n">
        <v>1799</v>
      </c>
    </row>
    <row r="200" customFormat="false" ht="15" hidden="false" customHeight="false" outlineLevel="0" collapsed="false">
      <c r="A200" s="3" t="s">
        <v>395</v>
      </c>
      <c r="B200" s="3" t="s">
        <v>237</v>
      </c>
      <c r="C200" s="3" t="s">
        <v>75</v>
      </c>
      <c r="D200" s="3" t="s">
        <v>32</v>
      </c>
      <c r="E200" s="3" t="s">
        <v>23</v>
      </c>
      <c r="F200" s="3" t="s">
        <v>42</v>
      </c>
      <c r="G200" s="3" t="n">
        <v>6</v>
      </c>
      <c r="H200" s="3" t="n">
        <v>8999</v>
      </c>
    </row>
    <row r="201" customFormat="false" ht="15" hidden="false" customHeight="false" outlineLevel="0" collapsed="false">
      <c r="A201" s="3" t="s">
        <v>396</v>
      </c>
      <c r="B201" s="3" t="s">
        <v>222</v>
      </c>
      <c r="C201" s="3" t="s">
        <v>45</v>
      </c>
      <c r="D201" s="3" t="s">
        <v>12</v>
      </c>
      <c r="E201" s="3" t="s">
        <v>13</v>
      </c>
      <c r="F201" s="3" t="s">
        <v>18</v>
      </c>
      <c r="G201" s="3" t="n">
        <v>13</v>
      </c>
      <c r="H201" s="3" t="n">
        <v>499</v>
      </c>
    </row>
    <row r="202" customFormat="false" ht="15" hidden="false" customHeight="false" outlineLevel="0" collapsed="false">
      <c r="A202" s="3" t="s">
        <v>397</v>
      </c>
      <c r="B202" s="3" t="s">
        <v>398</v>
      </c>
      <c r="C202" s="3" t="s">
        <v>31</v>
      </c>
      <c r="D202" s="3" t="s">
        <v>32</v>
      </c>
      <c r="E202" s="3" t="s">
        <v>13</v>
      </c>
      <c r="F202" s="3" t="s">
        <v>35</v>
      </c>
      <c r="G202" s="3" t="n">
        <v>8</v>
      </c>
      <c r="H202" s="3" t="n">
        <v>1499</v>
      </c>
    </row>
    <row r="203" customFormat="false" ht="15" hidden="false" customHeight="false" outlineLevel="0" collapsed="false">
      <c r="A203" s="3" t="s">
        <v>399</v>
      </c>
      <c r="B203" s="3" t="s">
        <v>74</v>
      </c>
      <c r="C203" s="3" t="s">
        <v>93</v>
      </c>
      <c r="D203" s="3" t="s">
        <v>12</v>
      </c>
      <c r="E203" s="3" t="s">
        <v>56</v>
      </c>
      <c r="F203" s="3" t="s">
        <v>28</v>
      </c>
      <c r="G203" s="3" t="n">
        <v>10</v>
      </c>
      <c r="H203" s="4"/>
    </row>
    <row r="204" customFormat="false" ht="15" hidden="false" customHeight="false" outlineLevel="0" collapsed="false">
      <c r="A204" s="3" t="s">
        <v>400</v>
      </c>
      <c r="B204" s="3" t="s">
        <v>60</v>
      </c>
      <c r="C204" s="3" t="s">
        <v>75</v>
      </c>
      <c r="D204" s="3" t="s">
        <v>32</v>
      </c>
      <c r="E204" s="3" t="s">
        <v>13</v>
      </c>
      <c r="F204" s="3" t="s">
        <v>24</v>
      </c>
      <c r="G204" s="3" t="n">
        <v>11</v>
      </c>
      <c r="H204" s="3" t="n">
        <v>8999</v>
      </c>
    </row>
    <row r="205" customFormat="false" ht="15" hidden="false" customHeight="false" outlineLevel="0" collapsed="false">
      <c r="A205" s="3" t="s">
        <v>401</v>
      </c>
      <c r="B205" s="3" t="s">
        <v>402</v>
      </c>
      <c r="C205" s="3" t="s">
        <v>16</v>
      </c>
      <c r="D205" s="3" t="s">
        <v>12</v>
      </c>
      <c r="E205" s="3" t="s">
        <v>56</v>
      </c>
      <c r="F205" s="3" t="s">
        <v>42</v>
      </c>
      <c r="G205" s="3" t="n">
        <v>4</v>
      </c>
      <c r="H205" s="3" t="n">
        <v>2499</v>
      </c>
    </row>
    <row r="206" customFormat="false" ht="15" hidden="false" customHeight="false" outlineLevel="0" collapsed="false">
      <c r="A206" s="3" t="s">
        <v>403</v>
      </c>
      <c r="B206" s="3" t="s">
        <v>404</v>
      </c>
      <c r="C206" s="3" t="s">
        <v>93</v>
      </c>
      <c r="D206" s="3" t="s">
        <v>12</v>
      </c>
      <c r="E206" s="3" t="s">
        <v>13</v>
      </c>
      <c r="F206" s="3" t="s">
        <v>35</v>
      </c>
      <c r="G206" s="3" t="n">
        <v>3</v>
      </c>
      <c r="H206" s="3" t="n">
        <v>1299</v>
      </c>
    </row>
    <row r="207" customFormat="false" ht="15" hidden="false" customHeight="false" outlineLevel="0" collapsed="false">
      <c r="A207" s="3" t="s">
        <v>405</v>
      </c>
      <c r="B207" s="3" t="s">
        <v>328</v>
      </c>
      <c r="C207" s="3" t="s">
        <v>105</v>
      </c>
      <c r="D207" s="3" t="s">
        <v>32</v>
      </c>
      <c r="E207" s="3" t="s">
        <v>41</v>
      </c>
      <c r="F207" s="3" t="s">
        <v>42</v>
      </c>
      <c r="G207" s="3" t="n">
        <v>10</v>
      </c>
      <c r="H207" s="3" t="n">
        <v>1799</v>
      </c>
    </row>
    <row r="208" customFormat="false" ht="15" hidden="false" customHeight="false" outlineLevel="0" collapsed="false">
      <c r="A208" s="3" t="s">
        <v>406</v>
      </c>
      <c r="B208" s="3" t="s">
        <v>407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n">
        <v>12</v>
      </c>
      <c r="H208" s="3" t="n">
        <v>699</v>
      </c>
    </row>
    <row r="209" customFormat="false" ht="15" hidden="false" customHeight="false" outlineLevel="0" collapsed="false">
      <c r="A209" s="3" t="s">
        <v>408</v>
      </c>
      <c r="B209" s="3" t="s">
        <v>154</v>
      </c>
      <c r="C209" s="3" t="s">
        <v>105</v>
      </c>
      <c r="D209" s="3" t="s">
        <v>32</v>
      </c>
      <c r="E209" s="3" t="s">
        <v>56</v>
      </c>
      <c r="F209" s="3" t="s">
        <v>28</v>
      </c>
      <c r="G209" s="3" t="n">
        <v>13</v>
      </c>
      <c r="H209" s="3" t="n">
        <v>1799</v>
      </c>
    </row>
    <row r="210" customFormat="false" ht="15" hidden="false" customHeight="false" outlineLevel="0" collapsed="false">
      <c r="A210" s="3" t="s">
        <v>409</v>
      </c>
      <c r="B210" s="3" t="s">
        <v>410</v>
      </c>
      <c r="C210" s="3" t="s">
        <v>16</v>
      </c>
      <c r="D210" s="3" t="s">
        <v>12</v>
      </c>
      <c r="E210" s="3" t="s">
        <v>41</v>
      </c>
      <c r="F210" s="3" t="s">
        <v>35</v>
      </c>
      <c r="G210" s="3" t="n">
        <v>-8</v>
      </c>
      <c r="H210" s="3" t="n">
        <v>2499</v>
      </c>
    </row>
    <row r="211" customFormat="false" ht="15" hidden="false" customHeight="false" outlineLevel="0" collapsed="false">
      <c r="A211" s="3" t="s">
        <v>411</v>
      </c>
      <c r="B211" s="3" t="s">
        <v>412</v>
      </c>
      <c r="C211" s="3" t="s">
        <v>16</v>
      </c>
      <c r="D211" s="3" t="s">
        <v>12</v>
      </c>
      <c r="E211" s="3" t="s">
        <v>56</v>
      </c>
      <c r="F211" s="3" t="s">
        <v>24</v>
      </c>
      <c r="G211" s="3" t="n">
        <v>9</v>
      </c>
      <c r="H211" s="3" t="n">
        <v>2499</v>
      </c>
    </row>
    <row r="212" customFormat="false" ht="15" hidden="false" customHeight="false" outlineLevel="0" collapsed="false">
      <c r="A212" s="3" t="s">
        <v>413</v>
      </c>
      <c r="B212" s="3" t="s">
        <v>52</v>
      </c>
      <c r="C212" s="3" t="s">
        <v>105</v>
      </c>
      <c r="D212" s="3" t="s">
        <v>32</v>
      </c>
      <c r="E212" s="3" t="s">
        <v>56</v>
      </c>
      <c r="F212" s="3" t="s">
        <v>28</v>
      </c>
      <c r="G212" s="3" t="n">
        <v>12</v>
      </c>
      <c r="H212" s="3" t="n">
        <v>1799</v>
      </c>
    </row>
    <row r="213" customFormat="false" ht="15" hidden="false" customHeight="false" outlineLevel="0" collapsed="false">
      <c r="A213" s="3" t="s">
        <v>414</v>
      </c>
      <c r="B213" s="3" t="s">
        <v>415</v>
      </c>
      <c r="C213" s="3" t="s">
        <v>31</v>
      </c>
      <c r="D213" s="3" t="s">
        <v>32</v>
      </c>
      <c r="E213" s="3" t="s">
        <v>13</v>
      </c>
      <c r="F213" s="3" t="s">
        <v>24</v>
      </c>
      <c r="G213" s="3" t="n">
        <v>2</v>
      </c>
      <c r="H213" s="3" t="n">
        <v>1499</v>
      </c>
    </row>
    <row r="214" customFormat="false" ht="15" hidden="false" customHeight="false" outlineLevel="0" collapsed="false">
      <c r="A214" s="3" t="s">
        <v>416</v>
      </c>
      <c r="B214" s="3" t="s">
        <v>417</v>
      </c>
      <c r="C214" s="3" t="s">
        <v>16</v>
      </c>
      <c r="D214" s="3" t="s">
        <v>12</v>
      </c>
      <c r="E214" s="3" t="s">
        <v>113</v>
      </c>
      <c r="F214" s="3" t="s">
        <v>42</v>
      </c>
      <c r="G214" s="3" t="n">
        <v>-9</v>
      </c>
      <c r="H214" s="3" t="n">
        <v>2499</v>
      </c>
    </row>
    <row r="215" customFormat="false" ht="15" hidden="false" customHeight="false" outlineLevel="0" collapsed="false">
      <c r="A215" s="3" t="s">
        <v>418</v>
      </c>
      <c r="B215" s="3" t="s">
        <v>419</v>
      </c>
      <c r="C215" s="3" t="s">
        <v>45</v>
      </c>
      <c r="D215" s="3" t="s">
        <v>12</v>
      </c>
      <c r="E215" s="3" t="s">
        <v>41</v>
      </c>
      <c r="F215" s="3" t="s">
        <v>42</v>
      </c>
      <c r="G215" s="3" t="n">
        <v>11</v>
      </c>
      <c r="H215" s="3" t="n">
        <v>499</v>
      </c>
    </row>
    <row r="216" customFormat="false" ht="15" hidden="false" customHeight="false" outlineLevel="0" collapsed="false">
      <c r="A216" s="3" t="s">
        <v>420</v>
      </c>
      <c r="B216" s="3" t="s">
        <v>421</v>
      </c>
      <c r="C216" s="3" t="s">
        <v>38</v>
      </c>
      <c r="D216" s="3" t="s">
        <v>32</v>
      </c>
      <c r="E216" s="3" t="s">
        <v>23</v>
      </c>
      <c r="F216" s="3" t="s">
        <v>24</v>
      </c>
      <c r="G216" s="3" t="n">
        <v>13</v>
      </c>
      <c r="H216" s="3" t="n">
        <v>1999</v>
      </c>
    </row>
    <row r="217" customFormat="false" ht="15" hidden="false" customHeight="false" outlineLevel="0" collapsed="false">
      <c r="A217" s="3" t="s">
        <v>422</v>
      </c>
      <c r="B217" s="3" t="s">
        <v>64</v>
      </c>
      <c r="C217" s="3" t="s">
        <v>55</v>
      </c>
      <c r="D217" s="3" t="s">
        <v>12</v>
      </c>
      <c r="E217" s="3" t="s">
        <v>13</v>
      </c>
      <c r="F217" s="3" t="s">
        <v>24</v>
      </c>
      <c r="G217" s="3" t="n">
        <v>3</v>
      </c>
      <c r="H217" s="3" t="n">
        <v>299</v>
      </c>
    </row>
    <row r="218" customFormat="false" ht="15" hidden="false" customHeight="false" outlineLevel="0" collapsed="false">
      <c r="A218" s="3" t="s">
        <v>423</v>
      </c>
      <c r="B218" s="3" t="s">
        <v>424</v>
      </c>
      <c r="C218" s="3" t="s">
        <v>55</v>
      </c>
      <c r="D218" s="3" t="s">
        <v>12</v>
      </c>
      <c r="E218" s="3" t="s">
        <v>41</v>
      </c>
      <c r="F218" s="3" t="s">
        <v>18</v>
      </c>
      <c r="G218" s="3" t="n">
        <v>13</v>
      </c>
      <c r="H218" s="3" t="n">
        <v>299</v>
      </c>
    </row>
    <row r="219" customFormat="false" ht="15" hidden="false" customHeight="false" outlineLevel="0" collapsed="false">
      <c r="A219" s="3" t="s">
        <v>425</v>
      </c>
      <c r="B219" s="3" t="s">
        <v>282</v>
      </c>
      <c r="C219" s="3" t="s">
        <v>93</v>
      </c>
      <c r="D219" s="3" t="s">
        <v>12</v>
      </c>
      <c r="E219" s="3" t="s">
        <v>41</v>
      </c>
      <c r="F219" s="3" t="s">
        <v>42</v>
      </c>
      <c r="G219" s="3" t="n">
        <v>7</v>
      </c>
      <c r="H219" s="3" t="n">
        <v>1299</v>
      </c>
    </row>
    <row r="220" customFormat="false" ht="15" hidden="false" customHeight="false" outlineLevel="0" collapsed="false">
      <c r="A220" s="3" t="s">
        <v>426</v>
      </c>
      <c r="B220" s="3" t="s">
        <v>427</v>
      </c>
      <c r="C220" s="3" t="s">
        <v>105</v>
      </c>
      <c r="D220" s="3" t="s">
        <v>32</v>
      </c>
      <c r="E220" s="3" t="s">
        <v>56</v>
      </c>
      <c r="F220" s="3" t="s">
        <v>28</v>
      </c>
      <c r="G220" s="3" t="n">
        <v>11</v>
      </c>
      <c r="H220" s="3" t="n">
        <v>1799</v>
      </c>
    </row>
    <row r="221" customFormat="false" ht="15" hidden="false" customHeight="false" outlineLevel="0" collapsed="false">
      <c r="A221" s="3" t="s">
        <v>428</v>
      </c>
      <c r="B221" s="3" t="s">
        <v>255</v>
      </c>
      <c r="C221" s="3" t="s">
        <v>31</v>
      </c>
      <c r="D221" s="3" t="s">
        <v>32</v>
      </c>
      <c r="E221" s="3" t="s">
        <v>56</v>
      </c>
      <c r="F221" s="3" t="s">
        <v>28</v>
      </c>
      <c r="G221" s="3" t="n">
        <v>1</v>
      </c>
      <c r="H221" s="3" t="n">
        <v>1499</v>
      </c>
    </row>
    <row r="222" customFormat="false" ht="15" hidden="false" customHeight="false" outlineLevel="0" collapsed="false">
      <c r="A222" s="3" t="s">
        <v>429</v>
      </c>
      <c r="B222" s="3" t="s">
        <v>430</v>
      </c>
      <c r="C222" s="3" t="s">
        <v>38</v>
      </c>
      <c r="D222" s="3" t="s">
        <v>32</v>
      </c>
      <c r="E222" s="3" t="s">
        <v>23</v>
      </c>
      <c r="F222" s="3" t="s">
        <v>28</v>
      </c>
      <c r="G222" s="3" t="n">
        <v>7</v>
      </c>
      <c r="H222" s="3" t="n">
        <v>1999</v>
      </c>
    </row>
    <row r="223" customFormat="false" ht="15" hidden="false" customHeight="false" outlineLevel="0" collapsed="false">
      <c r="A223" s="3" t="s">
        <v>431</v>
      </c>
      <c r="B223" s="3" t="s">
        <v>432</v>
      </c>
      <c r="C223" s="3" t="s">
        <v>93</v>
      </c>
      <c r="D223" s="3" t="s">
        <v>12</v>
      </c>
      <c r="E223" s="3" t="s">
        <v>23</v>
      </c>
      <c r="F223" s="3" t="s">
        <v>24</v>
      </c>
      <c r="G223" s="4"/>
      <c r="H223" s="3" t="n">
        <v>1299</v>
      </c>
    </row>
    <row r="224" customFormat="false" ht="15" hidden="false" customHeight="false" outlineLevel="0" collapsed="false">
      <c r="A224" s="3" t="s">
        <v>433</v>
      </c>
      <c r="B224" s="3" t="s">
        <v>354</v>
      </c>
      <c r="C224" s="3" t="s">
        <v>38</v>
      </c>
      <c r="D224" s="3" t="s">
        <v>32</v>
      </c>
      <c r="E224" s="3" t="s">
        <v>41</v>
      </c>
      <c r="F224" s="3" t="s">
        <v>28</v>
      </c>
      <c r="G224" s="3" t="n">
        <v>8</v>
      </c>
      <c r="H224" s="3" t="n">
        <v>1999</v>
      </c>
    </row>
    <row r="225" customFormat="false" ht="15" hidden="false" customHeight="false" outlineLevel="0" collapsed="false">
      <c r="A225" s="3" t="s">
        <v>434</v>
      </c>
      <c r="B225" s="3" t="s">
        <v>435</v>
      </c>
      <c r="C225" s="3" t="s">
        <v>45</v>
      </c>
      <c r="D225" s="3" t="s">
        <v>12</v>
      </c>
      <c r="E225" s="3" t="s">
        <v>13</v>
      </c>
      <c r="F225" s="3" t="s">
        <v>42</v>
      </c>
      <c r="G225" s="3" t="n">
        <v>6</v>
      </c>
      <c r="H225" s="3" t="n">
        <v>499</v>
      </c>
    </row>
    <row r="226" customFormat="false" ht="15" hidden="false" customHeight="false" outlineLevel="0" collapsed="false">
      <c r="A226" s="3" t="s">
        <v>436</v>
      </c>
      <c r="B226" s="3" t="s">
        <v>204</v>
      </c>
      <c r="C226" s="3" t="s">
        <v>93</v>
      </c>
      <c r="D226" s="3" t="s">
        <v>12</v>
      </c>
      <c r="E226" s="3" t="s">
        <v>23</v>
      </c>
      <c r="F226" s="3" t="s">
        <v>42</v>
      </c>
      <c r="G226" s="3" t="n">
        <v>9</v>
      </c>
      <c r="H226" s="3" t="n">
        <v>1299</v>
      </c>
    </row>
    <row r="227" customFormat="false" ht="15" hidden="false" customHeight="false" outlineLevel="0" collapsed="false">
      <c r="A227" s="3" t="s">
        <v>437</v>
      </c>
      <c r="B227" s="3" t="s">
        <v>438</v>
      </c>
      <c r="C227" s="3" t="s">
        <v>75</v>
      </c>
      <c r="D227" s="3" t="s">
        <v>32</v>
      </c>
      <c r="E227" s="3" t="s">
        <v>41</v>
      </c>
      <c r="F227" s="3" t="s">
        <v>18</v>
      </c>
      <c r="G227" s="3" t="n">
        <v>8</v>
      </c>
      <c r="H227" s="3" t="n">
        <v>8999</v>
      </c>
    </row>
    <row r="228" customFormat="false" ht="15" hidden="false" customHeight="false" outlineLevel="0" collapsed="false">
      <c r="A228" s="3" t="s">
        <v>439</v>
      </c>
      <c r="B228" s="3" t="s">
        <v>398</v>
      </c>
      <c r="C228" s="3" t="s">
        <v>21</v>
      </c>
      <c r="D228" s="3" t="s">
        <v>22</v>
      </c>
      <c r="E228" s="3" t="s">
        <v>23</v>
      </c>
      <c r="F228" s="3" t="s">
        <v>35</v>
      </c>
      <c r="G228" s="3" t="n">
        <v>3</v>
      </c>
      <c r="H228" s="3" t="n">
        <v>699</v>
      </c>
    </row>
    <row r="229" customFormat="false" ht="15" hidden="false" customHeight="false" outlineLevel="0" collapsed="false">
      <c r="A229" s="3" t="s">
        <v>440</v>
      </c>
      <c r="B229" s="3" t="s">
        <v>354</v>
      </c>
      <c r="C229" s="3" t="s">
        <v>38</v>
      </c>
      <c r="D229" s="3" t="s">
        <v>32</v>
      </c>
      <c r="E229" s="3" t="s">
        <v>13</v>
      </c>
      <c r="F229" s="3" t="s">
        <v>35</v>
      </c>
      <c r="G229" s="3" t="n">
        <v>1</v>
      </c>
      <c r="H229" s="3" t="n">
        <v>1999</v>
      </c>
    </row>
    <row r="230" customFormat="false" ht="15" hidden="false" customHeight="false" outlineLevel="0" collapsed="false">
      <c r="A230" s="3" t="s">
        <v>441</v>
      </c>
      <c r="B230" s="3" t="s">
        <v>442</v>
      </c>
      <c r="C230" s="3" t="s">
        <v>45</v>
      </c>
      <c r="D230" s="3" t="s">
        <v>12</v>
      </c>
      <c r="E230" s="3" t="s">
        <v>23</v>
      </c>
      <c r="F230" s="3" t="s">
        <v>18</v>
      </c>
      <c r="G230" s="3" t="n">
        <v>13</v>
      </c>
      <c r="H230" s="3" t="n">
        <v>499</v>
      </c>
    </row>
    <row r="231" customFormat="false" ht="15" hidden="false" customHeight="false" outlineLevel="0" collapsed="false">
      <c r="A231" s="3" t="s">
        <v>443</v>
      </c>
      <c r="B231" s="3" t="s">
        <v>444</v>
      </c>
      <c r="C231" s="3" t="s">
        <v>31</v>
      </c>
      <c r="D231" s="3" t="s">
        <v>32</v>
      </c>
      <c r="E231" s="3" t="s">
        <v>56</v>
      </c>
      <c r="F231" s="3" t="s">
        <v>28</v>
      </c>
      <c r="G231" s="3" t="n">
        <v>6</v>
      </c>
      <c r="H231" s="3" t="n">
        <v>1499</v>
      </c>
    </row>
    <row r="232" customFormat="false" ht="15" hidden="false" customHeight="false" outlineLevel="0" collapsed="false">
      <c r="A232" s="3" t="s">
        <v>445</v>
      </c>
      <c r="B232" s="3" t="s">
        <v>446</v>
      </c>
      <c r="C232" s="3" t="s">
        <v>21</v>
      </c>
      <c r="D232" s="3" t="s">
        <v>22</v>
      </c>
      <c r="E232" s="3" t="s">
        <v>13</v>
      </c>
      <c r="F232" s="3" t="s">
        <v>35</v>
      </c>
      <c r="G232" s="3" t="n">
        <v>5</v>
      </c>
      <c r="H232" s="3" t="n">
        <v>699</v>
      </c>
    </row>
    <row r="233" customFormat="false" ht="15" hidden="false" customHeight="false" outlineLevel="0" collapsed="false">
      <c r="A233" s="3" t="s">
        <v>447</v>
      </c>
      <c r="B233" s="3" t="s">
        <v>448</v>
      </c>
      <c r="C233" s="3" t="s">
        <v>38</v>
      </c>
      <c r="D233" s="3" t="s">
        <v>32</v>
      </c>
      <c r="E233" s="3" t="s">
        <v>41</v>
      </c>
      <c r="F233" s="3" t="s">
        <v>35</v>
      </c>
      <c r="G233" s="3" t="n">
        <v>4</v>
      </c>
      <c r="H233" s="3" t="n">
        <v>1999</v>
      </c>
    </row>
    <row r="234" customFormat="false" ht="15" hidden="false" customHeight="false" outlineLevel="0" collapsed="false">
      <c r="A234" s="3" t="s">
        <v>449</v>
      </c>
      <c r="B234" s="3" t="s">
        <v>450</v>
      </c>
      <c r="C234" s="3" t="s">
        <v>27</v>
      </c>
      <c r="D234" s="3" t="s">
        <v>22</v>
      </c>
      <c r="E234" s="3" t="s">
        <v>56</v>
      </c>
      <c r="F234" s="3" t="s">
        <v>28</v>
      </c>
      <c r="G234" s="3" t="n">
        <v>14</v>
      </c>
      <c r="H234" s="3" t="n">
        <v>899</v>
      </c>
    </row>
    <row r="235" customFormat="false" ht="15" hidden="false" customHeight="false" outlineLevel="0" collapsed="false">
      <c r="A235" s="3" t="s">
        <v>451</v>
      </c>
      <c r="B235" s="3" t="s">
        <v>452</v>
      </c>
      <c r="C235" s="3" t="s">
        <v>38</v>
      </c>
      <c r="D235" s="3" t="s">
        <v>32</v>
      </c>
      <c r="E235" s="3" t="s">
        <v>41</v>
      </c>
      <c r="F235" s="3" t="s">
        <v>24</v>
      </c>
      <c r="G235" s="3" t="n">
        <v>6</v>
      </c>
      <c r="H235" s="3" t="n">
        <v>1999</v>
      </c>
    </row>
    <row r="236" customFormat="false" ht="15" hidden="false" customHeight="false" outlineLevel="0" collapsed="false">
      <c r="A236" s="3" t="s">
        <v>453</v>
      </c>
      <c r="B236" s="3" t="s">
        <v>454</v>
      </c>
      <c r="C236" s="3" t="s">
        <v>105</v>
      </c>
      <c r="D236" s="3" t="s">
        <v>32</v>
      </c>
      <c r="E236" s="3" t="s">
        <v>41</v>
      </c>
      <c r="F236" s="3" t="s">
        <v>24</v>
      </c>
      <c r="G236" s="3" t="n">
        <v>4</v>
      </c>
      <c r="H236" s="3" t="n">
        <v>1799</v>
      </c>
    </row>
    <row r="237" customFormat="false" ht="15" hidden="false" customHeight="false" outlineLevel="0" collapsed="false">
      <c r="A237" s="3" t="s">
        <v>455</v>
      </c>
      <c r="B237" s="3" t="s">
        <v>456</v>
      </c>
      <c r="C237" s="3" t="s">
        <v>93</v>
      </c>
      <c r="D237" s="3" t="s">
        <v>12</v>
      </c>
      <c r="E237" s="3" t="s">
        <v>457</v>
      </c>
      <c r="F237" s="3" t="s">
        <v>35</v>
      </c>
      <c r="G237" s="3" t="n">
        <v>2</v>
      </c>
      <c r="H237" s="3" t="n">
        <v>1299</v>
      </c>
    </row>
    <row r="238" customFormat="false" ht="15" hidden="false" customHeight="false" outlineLevel="0" collapsed="false">
      <c r="A238" s="3" t="s">
        <v>458</v>
      </c>
      <c r="B238" s="3" t="s">
        <v>459</v>
      </c>
      <c r="C238" s="3" t="s">
        <v>45</v>
      </c>
      <c r="D238" s="3" t="s">
        <v>12</v>
      </c>
      <c r="E238" s="3" t="s">
        <v>56</v>
      </c>
      <c r="F238" s="3" t="s">
        <v>24</v>
      </c>
      <c r="G238" s="3" t="n">
        <v>10</v>
      </c>
      <c r="H238" s="3" t="n">
        <v>499</v>
      </c>
    </row>
    <row r="239" customFormat="false" ht="15" hidden="false" customHeight="false" outlineLevel="0" collapsed="false">
      <c r="A239" s="3" t="s">
        <v>460</v>
      </c>
      <c r="B239" s="3" t="s">
        <v>461</v>
      </c>
      <c r="C239" s="3" t="s">
        <v>241</v>
      </c>
      <c r="D239" s="3" t="s">
        <v>12</v>
      </c>
      <c r="E239" s="3" t="s">
        <v>23</v>
      </c>
      <c r="F239" s="3" t="s">
        <v>24</v>
      </c>
      <c r="G239" s="3" t="n">
        <v>2</v>
      </c>
      <c r="H239" s="3" t="n">
        <v>299</v>
      </c>
    </row>
    <row r="240" customFormat="false" ht="15" hidden="false" customHeight="false" outlineLevel="0" collapsed="false">
      <c r="A240" s="3" t="s">
        <v>462</v>
      </c>
      <c r="B240" s="3" t="s">
        <v>463</v>
      </c>
      <c r="C240" s="3" t="s">
        <v>31</v>
      </c>
      <c r="D240" s="3" t="s">
        <v>32</v>
      </c>
      <c r="E240" s="3" t="s">
        <v>56</v>
      </c>
      <c r="F240" s="3" t="s">
        <v>24</v>
      </c>
      <c r="G240" s="3" t="n">
        <v>1</v>
      </c>
      <c r="H240" s="3" t="n">
        <v>1499</v>
      </c>
    </row>
    <row r="241" customFormat="false" ht="15" hidden="false" customHeight="false" outlineLevel="0" collapsed="false">
      <c r="A241" s="3" t="s">
        <v>464</v>
      </c>
      <c r="B241" s="3" t="s">
        <v>115</v>
      </c>
      <c r="C241" s="3" t="s">
        <v>45</v>
      </c>
      <c r="D241" s="3" t="s">
        <v>12</v>
      </c>
      <c r="E241" s="3" t="s">
        <v>13</v>
      </c>
      <c r="F241" s="3" t="s">
        <v>42</v>
      </c>
      <c r="G241" s="3" t="n">
        <v>7</v>
      </c>
      <c r="H241" s="3" t="n">
        <v>499</v>
      </c>
    </row>
    <row r="242" customFormat="false" ht="15" hidden="false" customHeight="false" outlineLevel="0" collapsed="false">
      <c r="A242" s="3" t="s">
        <v>465</v>
      </c>
      <c r="B242" s="3" t="s">
        <v>466</v>
      </c>
      <c r="C242" s="3" t="s">
        <v>31</v>
      </c>
      <c r="D242" s="3" t="s">
        <v>32</v>
      </c>
      <c r="E242" s="3" t="s">
        <v>23</v>
      </c>
      <c r="F242" s="3" t="s">
        <v>18</v>
      </c>
      <c r="G242" s="3" t="n">
        <v>5</v>
      </c>
      <c r="H242" s="3" t="n">
        <v>1499</v>
      </c>
    </row>
    <row r="243" customFormat="false" ht="15" hidden="false" customHeight="false" outlineLevel="0" collapsed="false">
      <c r="A243" s="3" t="s">
        <v>467</v>
      </c>
      <c r="B243" s="3" t="s">
        <v>468</v>
      </c>
      <c r="C243" s="3" t="s">
        <v>38</v>
      </c>
      <c r="D243" s="3" t="s">
        <v>32</v>
      </c>
      <c r="E243" s="3" t="s">
        <v>41</v>
      </c>
      <c r="F243" s="3" t="s">
        <v>28</v>
      </c>
      <c r="G243" s="3" t="n">
        <v>2</v>
      </c>
      <c r="H243" s="3" t="n">
        <v>1999</v>
      </c>
    </row>
    <row r="244" customFormat="false" ht="15" hidden="false" customHeight="false" outlineLevel="0" collapsed="false">
      <c r="A244" s="3" t="s">
        <v>469</v>
      </c>
      <c r="B244" s="3" t="s">
        <v>270</v>
      </c>
      <c r="C244" s="3" t="s">
        <v>45</v>
      </c>
      <c r="D244" s="3" t="s">
        <v>12</v>
      </c>
      <c r="E244" s="3" t="s">
        <v>13</v>
      </c>
      <c r="F244" s="3" t="s">
        <v>28</v>
      </c>
      <c r="G244" s="3" t="n">
        <v>13</v>
      </c>
      <c r="H244" s="3" t="n">
        <v>499</v>
      </c>
    </row>
    <row r="245" customFormat="false" ht="15" hidden="false" customHeight="false" outlineLevel="0" collapsed="false">
      <c r="A245" s="3" t="s">
        <v>470</v>
      </c>
      <c r="B245" s="3" t="s">
        <v>452</v>
      </c>
      <c r="C245" s="3" t="s">
        <v>75</v>
      </c>
      <c r="D245" s="3" t="s">
        <v>32</v>
      </c>
      <c r="E245" s="3" t="s">
        <v>41</v>
      </c>
      <c r="F245" s="3" t="s">
        <v>18</v>
      </c>
      <c r="G245" s="3" t="n">
        <v>8</v>
      </c>
      <c r="H245" s="3" t="n">
        <v>8999</v>
      </c>
    </row>
    <row r="246" customFormat="false" ht="15" hidden="false" customHeight="false" outlineLevel="0" collapsed="false">
      <c r="A246" s="3" t="s">
        <v>471</v>
      </c>
      <c r="B246" s="3" t="s">
        <v>390</v>
      </c>
      <c r="C246" s="3" t="s">
        <v>75</v>
      </c>
      <c r="D246" s="3" t="s">
        <v>32</v>
      </c>
      <c r="E246" s="3" t="s">
        <v>17</v>
      </c>
      <c r="F246" s="3" t="s">
        <v>24</v>
      </c>
      <c r="G246" s="3" t="n">
        <v>2</v>
      </c>
      <c r="H246" s="3" t="n">
        <v>8999</v>
      </c>
    </row>
    <row r="247" customFormat="false" ht="15" hidden="false" customHeight="false" outlineLevel="0" collapsed="false">
      <c r="A247" s="3" t="s">
        <v>472</v>
      </c>
      <c r="B247" s="3" t="s">
        <v>473</v>
      </c>
      <c r="C247" s="3" t="s">
        <v>55</v>
      </c>
      <c r="D247" s="3" t="s">
        <v>12</v>
      </c>
      <c r="E247" s="3" t="s">
        <v>41</v>
      </c>
      <c r="F247" s="3" t="s">
        <v>35</v>
      </c>
      <c r="G247" s="3" t="n">
        <v>3</v>
      </c>
      <c r="H247" s="3" t="n">
        <v>299</v>
      </c>
    </row>
    <row r="248" customFormat="false" ht="15" hidden="false" customHeight="false" outlineLevel="0" collapsed="false">
      <c r="A248" s="3" t="s">
        <v>474</v>
      </c>
      <c r="B248" s="3" t="s">
        <v>313</v>
      </c>
      <c r="C248" s="3" t="s">
        <v>27</v>
      </c>
      <c r="D248" s="3" t="s">
        <v>22</v>
      </c>
      <c r="E248" s="3" t="s">
        <v>13</v>
      </c>
      <c r="F248" s="3" t="s">
        <v>18</v>
      </c>
      <c r="G248" s="3" t="n">
        <v>11</v>
      </c>
      <c r="H248" s="3" t="n">
        <v>899</v>
      </c>
    </row>
    <row r="249" customFormat="false" ht="15" hidden="false" customHeight="false" outlineLevel="0" collapsed="false">
      <c r="A249" s="3" t="s">
        <v>475</v>
      </c>
      <c r="B249" s="3" t="s">
        <v>476</v>
      </c>
      <c r="C249" s="3" t="s">
        <v>105</v>
      </c>
      <c r="D249" s="3" t="s">
        <v>32</v>
      </c>
      <c r="E249" s="3" t="s">
        <v>13</v>
      </c>
      <c r="F249" s="3" t="s">
        <v>35</v>
      </c>
      <c r="G249" s="3" t="n">
        <v>3</v>
      </c>
      <c r="H249" s="3" t="n">
        <v>1799</v>
      </c>
    </row>
    <row r="250" customFormat="false" ht="15" hidden="false" customHeight="false" outlineLevel="0" collapsed="false">
      <c r="A250" s="3" t="s">
        <v>477</v>
      </c>
      <c r="B250" s="3" t="s">
        <v>478</v>
      </c>
      <c r="C250" s="3" t="s">
        <v>16</v>
      </c>
      <c r="D250" s="3" t="s">
        <v>12</v>
      </c>
      <c r="E250" s="3" t="s">
        <v>41</v>
      </c>
      <c r="F250" s="3" t="s">
        <v>28</v>
      </c>
      <c r="G250" s="3" t="n">
        <v>6</v>
      </c>
      <c r="H250" s="3" t="n">
        <v>2499</v>
      </c>
    </row>
    <row r="251" customFormat="false" ht="15" hidden="false" customHeight="false" outlineLevel="0" collapsed="false">
      <c r="A251" s="3" t="s">
        <v>479</v>
      </c>
      <c r="B251" s="3" t="s">
        <v>480</v>
      </c>
      <c r="C251" s="3" t="s">
        <v>55</v>
      </c>
      <c r="D251" s="3" t="s">
        <v>12</v>
      </c>
      <c r="E251" s="3" t="s">
        <v>23</v>
      </c>
      <c r="F251" s="3" t="s">
        <v>35</v>
      </c>
      <c r="G251" s="3" t="n">
        <v>10</v>
      </c>
      <c r="H251" s="3" t="n">
        <v>299</v>
      </c>
    </row>
    <row r="252" customFormat="false" ht="15" hidden="false" customHeight="false" outlineLevel="0" collapsed="false">
      <c r="A252" s="3" t="s">
        <v>481</v>
      </c>
      <c r="B252" s="3" t="s">
        <v>424</v>
      </c>
      <c r="C252" s="3" t="s">
        <v>75</v>
      </c>
      <c r="D252" s="3" t="s">
        <v>32</v>
      </c>
      <c r="E252" s="3" t="s">
        <v>56</v>
      </c>
      <c r="F252" s="4"/>
      <c r="G252" s="3" t="n">
        <v>8</v>
      </c>
      <c r="H252" s="3" t="n">
        <v>8999</v>
      </c>
    </row>
    <row r="253" customFormat="false" ht="15" hidden="false" customHeight="false" outlineLevel="0" collapsed="false">
      <c r="A253" s="3" t="s">
        <v>482</v>
      </c>
      <c r="B253" s="3" t="s">
        <v>84</v>
      </c>
      <c r="C253" s="3" t="s">
        <v>55</v>
      </c>
      <c r="D253" s="3" t="s">
        <v>12</v>
      </c>
      <c r="E253" s="3" t="s">
        <v>41</v>
      </c>
      <c r="F253" s="3" t="s">
        <v>18</v>
      </c>
      <c r="G253" s="3" t="n">
        <v>14</v>
      </c>
      <c r="H253" s="3" t="n">
        <v>299</v>
      </c>
    </row>
    <row r="254" customFormat="false" ht="15" hidden="false" customHeight="false" outlineLevel="0" collapsed="false">
      <c r="A254" s="3" t="s">
        <v>483</v>
      </c>
      <c r="B254" s="3" t="s">
        <v>484</v>
      </c>
      <c r="C254" s="3" t="s">
        <v>27</v>
      </c>
      <c r="D254" s="3" t="s">
        <v>22</v>
      </c>
      <c r="E254" s="3" t="s">
        <v>41</v>
      </c>
      <c r="F254" s="3" t="s">
        <v>42</v>
      </c>
      <c r="G254" s="3" t="n">
        <v>11</v>
      </c>
      <c r="H254" s="3" t="n">
        <v>899</v>
      </c>
    </row>
    <row r="255" customFormat="false" ht="15" hidden="false" customHeight="false" outlineLevel="0" collapsed="false">
      <c r="A255" s="3" t="s">
        <v>485</v>
      </c>
      <c r="B255" s="3" t="s">
        <v>415</v>
      </c>
      <c r="C255" s="3" t="s">
        <v>21</v>
      </c>
      <c r="D255" s="3" t="s">
        <v>22</v>
      </c>
      <c r="E255" s="3" t="s">
        <v>13</v>
      </c>
      <c r="F255" s="3" t="s">
        <v>42</v>
      </c>
      <c r="G255" s="3" t="n">
        <v>4</v>
      </c>
      <c r="H255" s="3" t="n">
        <v>699</v>
      </c>
    </row>
    <row r="256" customFormat="false" ht="15" hidden="false" customHeight="false" outlineLevel="0" collapsed="false">
      <c r="A256" s="3" t="s">
        <v>486</v>
      </c>
      <c r="B256" s="3" t="s">
        <v>487</v>
      </c>
      <c r="C256" s="3" t="s">
        <v>31</v>
      </c>
      <c r="D256" s="3" t="s">
        <v>32</v>
      </c>
      <c r="E256" s="3" t="s">
        <v>41</v>
      </c>
      <c r="F256" s="3" t="s">
        <v>28</v>
      </c>
      <c r="G256" s="3" t="n">
        <v>4</v>
      </c>
      <c r="H256" s="3" t="n">
        <v>1499</v>
      </c>
    </row>
    <row r="257" customFormat="false" ht="15" hidden="false" customHeight="false" outlineLevel="0" collapsed="false">
      <c r="A257" s="3" t="s">
        <v>488</v>
      </c>
      <c r="B257" s="3" t="s">
        <v>489</v>
      </c>
      <c r="C257" s="3" t="s">
        <v>93</v>
      </c>
      <c r="D257" s="3" t="s">
        <v>12</v>
      </c>
      <c r="E257" s="3" t="s">
        <v>490</v>
      </c>
      <c r="F257" s="3" t="s">
        <v>18</v>
      </c>
      <c r="G257" s="3" t="n">
        <v>2</v>
      </c>
      <c r="H257" s="3" t="n">
        <v>1299</v>
      </c>
    </row>
    <row r="258" customFormat="false" ht="15" hidden="false" customHeight="false" outlineLevel="0" collapsed="false">
      <c r="A258" s="3" t="s">
        <v>491</v>
      </c>
      <c r="B258" s="3" t="s">
        <v>209</v>
      </c>
      <c r="C258" s="3" t="s">
        <v>31</v>
      </c>
      <c r="D258" s="3" t="s">
        <v>32</v>
      </c>
      <c r="E258" s="3" t="s">
        <v>13</v>
      </c>
      <c r="F258" s="3" t="s">
        <v>24</v>
      </c>
      <c r="G258" s="3" t="n">
        <v>4</v>
      </c>
      <c r="H258" s="3" t="n">
        <v>1499</v>
      </c>
    </row>
    <row r="259" customFormat="false" ht="15" hidden="false" customHeight="false" outlineLevel="0" collapsed="false">
      <c r="A259" s="3" t="s">
        <v>492</v>
      </c>
      <c r="B259" s="3" t="s">
        <v>493</v>
      </c>
      <c r="C259" s="3" t="s">
        <v>16</v>
      </c>
      <c r="D259" s="3" t="s">
        <v>12</v>
      </c>
      <c r="E259" s="3" t="s">
        <v>56</v>
      </c>
      <c r="F259" s="3" t="s">
        <v>24</v>
      </c>
      <c r="G259" s="3" t="n">
        <v>9</v>
      </c>
      <c r="H259" s="3" t="n">
        <v>2499</v>
      </c>
    </row>
    <row r="260" customFormat="false" ht="15" hidden="false" customHeight="false" outlineLevel="0" collapsed="false">
      <c r="A260" s="3" t="s">
        <v>494</v>
      </c>
      <c r="B260" s="3" t="s">
        <v>15</v>
      </c>
      <c r="C260" s="3" t="s">
        <v>31</v>
      </c>
      <c r="D260" s="3" t="s">
        <v>32</v>
      </c>
      <c r="E260" s="3" t="s">
        <v>13</v>
      </c>
      <c r="F260" s="3" t="s">
        <v>35</v>
      </c>
      <c r="G260" s="3" t="n">
        <v>3</v>
      </c>
      <c r="H260" s="3" t="n">
        <v>1499</v>
      </c>
    </row>
    <row r="261" customFormat="false" ht="15" hidden="false" customHeight="false" outlineLevel="0" collapsed="false">
      <c r="A261" s="3" t="s">
        <v>495</v>
      </c>
      <c r="B261" s="3" t="s">
        <v>176</v>
      </c>
      <c r="C261" s="3" t="s">
        <v>27</v>
      </c>
      <c r="D261" s="3" t="s">
        <v>22</v>
      </c>
      <c r="E261" s="3" t="s">
        <v>41</v>
      </c>
      <c r="F261" s="3" t="s">
        <v>28</v>
      </c>
      <c r="G261" s="3" t="n">
        <v>5</v>
      </c>
      <c r="H261" s="3" t="n">
        <v>899</v>
      </c>
    </row>
    <row r="262" customFormat="false" ht="15" hidden="false" customHeight="false" outlineLevel="0" collapsed="false">
      <c r="A262" s="3" t="s">
        <v>496</v>
      </c>
      <c r="B262" s="3" t="s">
        <v>497</v>
      </c>
      <c r="C262" s="3" t="s">
        <v>93</v>
      </c>
      <c r="D262" s="3" t="s">
        <v>12</v>
      </c>
      <c r="E262" s="3" t="s">
        <v>41</v>
      </c>
      <c r="F262" s="3" t="s">
        <v>42</v>
      </c>
      <c r="G262" s="3" t="n">
        <v>12</v>
      </c>
      <c r="H262" s="3" t="n">
        <v>1299</v>
      </c>
    </row>
    <row r="263" customFormat="false" ht="15" hidden="false" customHeight="false" outlineLevel="0" collapsed="false">
      <c r="A263" s="3" t="s">
        <v>498</v>
      </c>
      <c r="B263" s="3" t="s">
        <v>499</v>
      </c>
      <c r="C263" s="3" t="s">
        <v>38</v>
      </c>
      <c r="D263" s="3" t="s">
        <v>32</v>
      </c>
      <c r="E263" s="3" t="s">
        <v>13</v>
      </c>
      <c r="F263" s="3" t="s">
        <v>24</v>
      </c>
      <c r="G263" s="3" t="n">
        <v>2</v>
      </c>
      <c r="H263" s="3" t="n">
        <v>1999</v>
      </c>
    </row>
    <row r="264" customFormat="false" ht="15" hidden="false" customHeight="false" outlineLevel="0" collapsed="false">
      <c r="A264" s="3" t="s">
        <v>500</v>
      </c>
      <c r="B264" s="3" t="s">
        <v>501</v>
      </c>
      <c r="C264" s="3" t="s">
        <v>55</v>
      </c>
      <c r="D264" s="3" t="s">
        <v>12</v>
      </c>
      <c r="E264" s="3" t="s">
        <v>56</v>
      </c>
      <c r="F264" s="3" t="s">
        <v>24</v>
      </c>
      <c r="G264" s="3" t="n">
        <v>11</v>
      </c>
      <c r="H264" s="3" t="n">
        <v>299</v>
      </c>
    </row>
    <row r="265" customFormat="false" ht="15" hidden="false" customHeight="false" outlineLevel="0" collapsed="false">
      <c r="A265" s="3" t="s">
        <v>502</v>
      </c>
      <c r="B265" s="3" t="s">
        <v>88</v>
      </c>
      <c r="C265" s="3" t="s">
        <v>21</v>
      </c>
      <c r="D265" s="3" t="s">
        <v>22</v>
      </c>
      <c r="E265" s="3" t="s">
        <v>457</v>
      </c>
      <c r="F265" s="3" t="s">
        <v>24</v>
      </c>
      <c r="G265" s="3" t="n">
        <v>1</v>
      </c>
      <c r="H265" s="3" t="n">
        <v>699</v>
      </c>
    </row>
    <row r="266" customFormat="false" ht="15" hidden="false" customHeight="false" outlineLevel="0" collapsed="false">
      <c r="A266" s="3" t="s">
        <v>503</v>
      </c>
      <c r="B266" s="3" t="s">
        <v>504</v>
      </c>
      <c r="C266" s="3" t="s">
        <v>75</v>
      </c>
      <c r="D266" s="3" t="s">
        <v>32</v>
      </c>
      <c r="E266" s="3" t="s">
        <v>41</v>
      </c>
      <c r="F266" s="3" t="s">
        <v>42</v>
      </c>
      <c r="G266" s="3" t="n">
        <v>9</v>
      </c>
      <c r="H266" s="3" t="n">
        <v>8999</v>
      </c>
    </row>
    <row r="267" customFormat="false" ht="15" hidden="false" customHeight="false" outlineLevel="0" collapsed="false">
      <c r="A267" s="3" t="s">
        <v>505</v>
      </c>
      <c r="B267" s="3" t="s">
        <v>506</v>
      </c>
      <c r="C267" s="3" t="s">
        <v>38</v>
      </c>
      <c r="D267" s="3" t="s">
        <v>32</v>
      </c>
      <c r="E267" s="3" t="s">
        <v>41</v>
      </c>
      <c r="F267" s="3" t="s">
        <v>28</v>
      </c>
      <c r="G267" s="3" t="n">
        <v>8</v>
      </c>
      <c r="H267" s="3" t="n">
        <v>1999</v>
      </c>
    </row>
    <row r="268" customFormat="false" ht="15" hidden="false" customHeight="false" outlineLevel="0" collapsed="false">
      <c r="A268" s="3" t="s">
        <v>507</v>
      </c>
      <c r="B268" s="3" t="s">
        <v>508</v>
      </c>
      <c r="C268" s="3" t="s">
        <v>27</v>
      </c>
      <c r="D268" s="3" t="s">
        <v>22</v>
      </c>
      <c r="E268" s="3" t="s">
        <v>23</v>
      </c>
      <c r="F268" s="3" t="s">
        <v>18</v>
      </c>
      <c r="G268" s="3" t="n">
        <v>14</v>
      </c>
      <c r="H268" s="3" t="n">
        <v>899</v>
      </c>
    </row>
    <row r="269" customFormat="false" ht="15" hidden="false" customHeight="false" outlineLevel="0" collapsed="false">
      <c r="A269" s="3" t="s">
        <v>509</v>
      </c>
      <c r="B269" s="3" t="s">
        <v>510</v>
      </c>
      <c r="C269" s="3" t="s">
        <v>383</v>
      </c>
      <c r="D269" s="3" t="s">
        <v>12</v>
      </c>
      <c r="E269" s="3" t="s">
        <v>41</v>
      </c>
      <c r="F269" s="3" t="s">
        <v>28</v>
      </c>
      <c r="G269" s="3" t="n">
        <v>3</v>
      </c>
      <c r="H269" s="3" t="n">
        <v>2499</v>
      </c>
    </row>
    <row r="270" customFormat="false" ht="15" hidden="false" customHeight="false" outlineLevel="0" collapsed="false">
      <c r="A270" s="3" t="s">
        <v>511</v>
      </c>
      <c r="B270" s="3" t="s">
        <v>224</v>
      </c>
      <c r="C270" s="3" t="s">
        <v>16</v>
      </c>
      <c r="D270" s="3" t="s">
        <v>12</v>
      </c>
      <c r="E270" s="3" t="s">
        <v>56</v>
      </c>
      <c r="F270" s="3" t="s">
        <v>28</v>
      </c>
      <c r="G270" s="3" t="n">
        <v>14</v>
      </c>
      <c r="H270" s="3" t="n">
        <v>2499</v>
      </c>
    </row>
    <row r="271" customFormat="false" ht="15" hidden="false" customHeight="false" outlineLevel="0" collapsed="false">
      <c r="A271" s="3" t="s">
        <v>512</v>
      </c>
      <c r="B271" s="3" t="s">
        <v>282</v>
      </c>
      <c r="C271" s="3" t="s">
        <v>75</v>
      </c>
      <c r="D271" s="3" t="s">
        <v>32</v>
      </c>
      <c r="E271" s="3" t="s">
        <v>41</v>
      </c>
      <c r="F271" s="3" t="s">
        <v>35</v>
      </c>
      <c r="G271" s="3" t="n">
        <v>6</v>
      </c>
      <c r="H271" s="3" t="n">
        <v>8999</v>
      </c>
    </row>
    <row r="272" customFormat="false" ht="15" hidden="false" customHeight="false" outlineLevel="0" collapsed="false">
      <c r="A272" s="3" t="s">
        <v>513</v>
      </c>
      <c r="B272" s="3" t="s">
        <v>514</v>
      </c>
      <c r="C272" s="3" t="s">
        <v>55</v>
      </c>
      <c r="D272" s="3" t="s">
        <v>12</v>
      </c>
      <c r="E272" s="3" t="s">
        <v>56</v>
      </c>
      <c r="F272" s="3" t="s">
        <v>28</v>
      </c>
      <c r="G272" s="3" t="n">
        <v>2</v>
      </c>
      <c r="H272" s="3" t="n">
        <v>299</v>
      </c>
    </row>
    <row r="273" customFormat="false" ht="15" hidden="false" customHeight="false" outlineLevel="0" collapsed="false">
      <c r="A273" s="3" t="s">
        <v>515</v>
      </c>
      <c r="B273" s="3" t="s">
        <v>516</v>
      </c>
      <c r="C273" s="3" t="s">
        <v>55</v>
      </c>
      <c r="D273" s="3" t="s">
        <v>12</v>
      </c>
      <c r="E273" s="3" t="s">
        <v>13</v>
      </c>
      <c r="F273" s="3" t="s">
        <v>35</v>
      </c>
      <c r="G273" s="3" t="n">
        <v>7</v>
      </c>
      <c r="H273" s="3" t="n">
        <v>299</v>
      </c>
    </row>
    <row r="274" customFormat="false" ht="15" hidden="false" customHeight="false" outlineLevel="0" collapsed="false">
      <c r="A274" s="3" t="s">
        <v>517</v>
      </c>
      <c r="B274" s="3" t="s">
        <v>112</v>
      </c>
      <c r="C274" s="3" t="s">
        <v>38</v>
      </c>
      <c r="D274" s="3" t="s">
        <v>32</v>
      </c>
      <c r="E274" s="3" t="s">
        <v>41</v>
      </c>
      <c r="F274" s="3" t="s">
        <v>18</v>
      </c>
      <c r="G274" s="3" t="n">
        <v>14</v>
      </c>
      <c r="H274" s="3" t="n">
        <v>1999</v>
      </c>
    </row>
    <row r="275" customFormat="false" ht="15" hidden="false" customHeight="false" outlineLevel="0" collapsed="false">
      <c r="A275" s="3" t="s">
        <v>518</v>
      </c>
      <c r="B275" s="3" t="s">
        <v>129</v>
      </c>
      <c r="C275" s="3" t="s">
        <v>93</v>
      </c>
      <c r="D275" s="3" t="s">
        <v>12</v>
      </c>
      <c r="E275" s="3" t="s">
        <v>13</v>
      </c>
      <c r="F275" s="3" t="s">
        <v>18</v>
      </c>
      <c r="G275" s="3" t="n">
        <v>8</v>
      </c>
      <c r="H275" s="3" t="n">
        <v>1299</v>
      </c>
    </row>
    <row r="276" customFormat="false" ht="15" hidden="false" customHeight="false" outlineLevel="0" collapsed="false">
      <c r="A276" s="3" t="s">
        <v>519</v>
      </c>
      <c r="B276" s="3" t="s">
        <v>382</v>
      </c>
      <c r="C276" s="3" t="s">
        <v>105</v>
      </c>
      <c r="D276" s="3" t="s">
        <v>32</v>
      </c>
      <c r="E276" s="3" t="s">
        <v>520</v>
      </c>
      <c r="F276" s="3" t="s">
        <v>18</v>
      </c>
      <c r="G276" s="3" t="n">
        <v>1</v>
      </c>
      <c r="H276" s="3" t="n">
        <v>1799</v>
      </c>
    </row>
    <row r="277" customFormat="false" ht="15" hidden="false" customHeight="false" outlineLevel="0" collapsed="false">
      <c r="A277" s="3" t="s">
        <v>521</v>
      </c>
      <c r="B277" s="3" t="s">
        <v>522</v>
      </c>
      <c r="C277" s="3" t="s">
        <v>21</v>
      </c>
      <c r="D277" s="3" t="s">
        <v>22</v>
      </c>
      <c r="E277" s="3" t="s">
        <v>13</v>
      </c>
      <c r="F277" s="3" t="s">
        <v>18</v>
      </c>
      <c r="G277" s="3" t="n">
        <v>1</v>
      </c>
      <c r="H277" s="3" t="n">
        <v>699</v>
      </c>
    </row>
    <row r="278" customFormat="false" ht="15" hidden="false" customHeight="false" outlineLevel="0" collapsed="false">
      <c r="A278" s="3" t="s">
        <v>523</v>
      </c>
      <c r="B278" s="3" t="s">
        <v>370</v>
      </c>
      <c r="C278" s="3" t="s">
        <v>75</v>
      </c>
      <c r="D278" s="3" t="s">
        <v>32</v>
      </c>
      <c r="E278" s="3" t="s">
        <v>13</v>
      </c>
      <c r="F278" s="3" t="s">
        <v>35</v>
      </c>
      <c r="G278" s="3" t="n">
        <v>1</v>
      </c>
      <c r="H278" s="3" t="n">
        <v>8999</v>
      </c>
    </row>
    <row r="279" customFormat="false" ht="15" hidden="false" customHeight="false" outlineLevel="0" collapsed="false">
      <c r="A279" s="3" t="s">
        <v>524</v>
      </c>
      <c r="B279" s="3" t="s">
        <v>525</v>
      </c>
      <c r="C279" s="3" t="s">
        <v>93</v>
      </c>
      <c r="D279" s="3" t="s">
        <v>12</v>
      </c>
      <c r="E279" s="3" t="s">
        <v>13</v>
      </c>
      <c r="F279" s="3" t="s">
        <v>24</v>
      </c>
      <c r="G279" s="3" t="n">
        <v>4</v>
      </c>
      <c r="H279" s="3" t="n">
        <v>1299</v>
      </c>
    </row>
    <row r="280" customFormat="false" ht="15" hidden="false" customHeight="false" outlineLevel="0" collapsed="false">
      <c r="A280" s="3" t="s">
        <v>526</v>
      </c>
      <c r="B280" s="3" t="s">
        <v>454</v>
      </c>
      <c r="C280" s="3" t="s">
        <v>27</v>
      </c>
      <c r="D280" s="3" t="s">
        <v>22</v>
      </c>
      <c r="E280" s="3" t="s">
        <v>23</v>
      </c>
      <c r="F280" s="3" t="s">
        <v>42</v>
      </c>
      <c r="G280" s="3" t="n">
        <v>4</v>
      </c>
      <c r="H280" s="3" t="n">
        <v>899</v>
      </c>
    </row>
    <row r="281" customFormat="false" ht="15" hidden="false" customHeight="false" outlineLevel="0" collapsed="false">
      <c r="A281" s="3" t="s">
        <v>527</v>
      </c>
      <c r="B281" s="3" t="s">
        <v>131</v>
      </c>
      <c r="C281" s="3" t="s">
        <v>241</v>
      </c>
      <c r="D281" s="3" t="s">
        <v>12</v>
      </c>
      <c r="E281" s="3" t="s">
        <v>141</v>
      </c>
      <c r="F281" s="3" t="s">
        <v>28</v>
      </c>
      <c r="G281" s="3" t="n">
        <v>9</v>
      </c>
      <c r="H281" s="3" t="n">
        <v>299</v>
      </c>
    </row>
    <row r="282" customFormat="false" ht="15" hidden="false" customHeight="false" outlineLevel="0" collapsed="false">
      <c r="A282" s="3" t="s">
        <v>528</v>
      </c>
      <c r="B282" s="3" t="s">
        <v>345</v>
      </c>
      <c r="C282" s="3" t="s">
        <v>27</v>
      </c>
      <c r="D282" s="3" t="s">
        <v>22</v>
      </c>
      <c r="E282" s="3" t="s">
        <v>56</v>
      </c>
      <c r="F282" s="3" t="s">
        <v>18</v>
      </c>
      <c r="G282" s="3" t="n">
        <v>12</v>
      </c>
      <c r="H282" s="3" t="n">
        <v>899</v>
      </c>
    </row>
    <row r="283" customFormat="false" ht="15" hidden="false" customHeight="false" outlineLevel="0" collapsed="false">
      <c r="A283" s="3" t="s">
        <v>529</v>
      </c>
      <c r="B283" s="3" t="s">
        <v>530</v>
      </c>
      <c r="C283" s="3" t="s">
        <v>55</v>
      </c>
      <c r="D283" s="3" t="s">
        <v>12</v>
      </c>
      <c r="E283" s="3" t="s">
        <v>13</v>
      </c>
      <c r="F283" s="3" t="s">
        <v>35</v>
      </c>
      <c r="G283" s="3" t="n">
        <v>9</v>
      </c>
      <c r="H283" s="3" t="n">
        <v>299</v>
      </c>
    </row>
    <row r="284" customFormat="false" ht="15" hidden="false" customHeight="false" outlineLevel="0" collapsed="false">
      <c r="A284" s="3" t="s">
        <v>531</v>
      </c>
      <c r="B284" s="3" t="s">
        <v>407</v>
      </c>
      <c r="C284" s="3" t="s">
        <v>75</v>
      </c>
      <c r="D284" s="3" t="s">
        <v>32</v>
      </c>
      <c r="E284" s="3" t="s">
        <v>532</v>
      </c>
      <c r="F284" s="3" t="s">
        <v>28</v>
      </c>
      <c r="G284" s="3" t="n">
        <v>7</v>
      </c>
      <c r="H284" s="3" t="n">
        <v>8999</v>
      </c>
    </row>
    <row r="285" customFormat="false" ht="15" hidden="false" customHeight="false" outlineLevel="0" collapsed="false">
      <c r="A285" s="3" t="s">
        <v>533</v>
      </c>
      <c r="B285" s="3" t="s">
        <v>516</v>
      </c>
      <c r="C285" s="3" t="s">
        <v>21</v>
      </c>
      <c r="D285" s="3" t="s">
        <v>22</v>
      </c>
      <c r="E285" s="3" t="s">
        <v>41</v>
      </c>
      <c r="F285" s="3" t="s">
        <v>18</v>
      </c>
      <c r="G285" s="3" t="n">
        <v>6</v>
      </c>
      <c r="H285" s="3" t="n">
        <v>699</v>
      </c>
    </row>
    <row r="286" customFormat="false" ht="15" hidden="false" customHeight="false" outlineLevel="0" collapsed="false">
      <c r="A286" s="3" t="s">
        <v>534</v>
      </c>
      <c r="B286" s="3" t="s">
        <v>535</v>
      </c>
      <c r="C286" s="3" t="s">
        <v>55</v>
      </c>
      <c r="D286" s="3" t="s">
        <v>12</v>
      </c>
      <c r="E286" s="3" t="s">
        <v>13</v>
      </c>
      <c r="F286" s="3" t="s">
        <v>24</v>
      </c>
      <c r="G286" s="3" t="n">
        <v>2</v>
      </c>
      <c r="H286" s="3" t="n">
        <v>299</v>
      </c>
    </row>
    <row r="287" customFormat="false" ht="15" hidden="false" customHeight="false" outlineLevel="0" collapsed="false">
      <c r="A287" s="3" t="s">
        <v>536</v>
      </c>
      <c r="B287" s="3" t="s">
        <v>131</v>
      </c>
      <c r="C287" s="3" t="s">
        <v>38</v>
      </c>
      <c r="D287" s="3" t="s">
        <v>32</v>
      </c>
      <c r="E287" s="3" t="s">
        <v>56</v>
      </c>
      <c r="F287" s="3" t="s">
        <v>35</v>
      </c>
      <c r="G287" s="3" t="n">
        <v>8</v>
      </c>
      <c r="H287" s="3" t="n">
        <v>1999</v>
      </c>
    </row>
    <row r="288" customFormat="false" ht="15" hidden="false" customHeight="false" outlineLevel="0" collapsed="false">
      <c r="A288" s="3" t="s">
        <v>537</v>
      </c>
      <c r="B288" s="3" t="s">
        <v>538</v>
      </c>
      <c r="C288" s="3" t="s">
        <v>105</v>
      </c>
      <c r="D288" s="3" t="s">
        <v>32</v>
      </c>
      <c r="E288" s="3" t="s">
        <v>23</v>
      </c>
      <c r="F288" s="3" t="s">
        <v>24</v>
      </c>
      <c r="G288" s="3" t="n">
        <v>7</v>
      </c>
      <c r="H288" s="3" t="n">
        <v>1799</v>
      </c>
    </row>
    <row r="289" customFormat="false" ht="15" hidden="false" customHeight="false" outlineLevel="0" collapsed="false">
      <c r="A289" s="3" t="s">
        <v>539</v>
      </c>
      <c r="B289" s="3" t="s">
        <v>540</v>
      </c>
      <c r="C289" s="3" t="s">
        <v>38</v>
      </c>
      <c r="D289" s="3" t="s">
        <v>32</v>
      </c>
      <c r="E289" s="3" t="s">
        <v>23</v>
      </c>
      <c r="F289" s="3" t="s">
        <v>28</v>
      </c>
      <c r="G289" s="3" t="n">
        <v>6</v>
      </c>
      <c r="H289" s="3" t="n">
        <v>1999</v>
      </c>
    </row>
    <row r="290" customFormat="false" ht="15" hidden="false" customHeight="false" outlineLevel="0" collapsed="false">
      <c r="A290" s="3" t="s">
        <v>541</v>
      </c>
      <c r="B290" s="3" t="s">
        <v>222</v>
      </c>
      <c r="C290" s="3" t="s">
        <v>55</v>
      </c>
      <c r="D290" s="3" t="s">
        <v>12</v>
      </c>
      <c r="E290" s="3" t="s">
        <v>56</v>
      </c>
      <c r="F290" s="3" t="s">
        <v>24</v>
      </c>
      <c r="G290" s="3" t="n">
        <v>14</v>
      </c>
      <c r="H290" s="3" t="n">
        <v>299</v>
      </c>
    </row>
    <row r="291" customFormat="false" ht="15" hidden="false" customHeight="false" outlineLevel="0" collapsed="false">
      <c r="A291" s="3" t="s">
        <v>542</v>
      </c>
      <c r="B291" s="3" t="s">
        <v>380</v>
      </c>
      <c r="C291" s="3" t="s">
        <v>45</v>
      </c>
      <c r="D291" s="3" t="s">
        <v>12</v>
      </c>
      <c r="E291" s="3" t="s">
        <v>56</v>
      </c>
      <c r="F291" s="3" t="s">
        <v>35</v>
      </c>
      <c r="G291" s="3" t="n">
        <v>6</v>
      </c>
      <c r="H291" s="3" t="n">
        <v>499</v>
      </c>
    </row>
    <row r="292" customFormat="false" ht="15" hidden="false" customHeight="false" outlineLevel="0" collapsed="false">
      <c r="A292" s="3" t="s">
        <v>543</v>
      </c>
      <c r="B292" s="3" t="s">
        <v>544</v>
      </c>
      <c r="C292" s="3" t="s">
        <v>105</v>
      </c>
      <c r="D292" s="3" t="s">
        <v>32</v>
      </c>
      <c r="E292" s="3" t="s">
        <v>56</v>
      </c>
      <c r="F292" s="3" t="s">
        <v>18</v>
      </c>
      <c r="G292" s="3" t="n">
        <v>12</v>
      </c>
      <c r="H292" s="3" t="n">
        <v>1799</v>
      </c>
    </row>
    <row r="293" customFormat="false" ht="15" hidden="false" customHeight="false" outlineLevel="0" collapsed="false">
      <c r="A293" s="3" t="s">
        <v>545</v>
      </c>
      <c r="B293" s="3" t="s">
        <v>158</v>
      </c>
      <c r="C293" s="3" t="s">
        <v>21</v>
      </c>
      <c r="D293" s="3" t="s">
        <v>22</v>
      </c>
      <c r="E293" s="3" t="s">
        <v>23</v>
      </c>
      <c r="F293" s="3" t="s">
        <v>18</v>
      </c>
      <c r="G293" s="3" t="n">
        <v>11</v>
      </c>
      <c r="H293" s="3" t="n">
        <v>699</v>
      </c>
    </row>
    <row r="294" customFormat="false" ht="15" hidden="false" customHeight="false" outlineLevel="0" collapsed="false">
      <c r="A294" s="3" t="s">
        <v>546</v>
      </c>
      <c r="B294" s="3" t="s">
        <v>325</v>
      </c>
      <c r="C294" s="3" t="s">
        <v>31</v>
      </c>
      <c r="D294" s="3" t="s">
        <v>32</v>
      </c>
      <c r="E294" s="3" t="s">
        <v>41</v>
      </c>
      <c r="F294" s="3" t="s">
        <v>35</v>
      </c>
      <c r="G294" s="3" t="n">
        <v>10</v>
      </c>
      <c r="H294" s="3" t="n">
        <v>1499</v>
      </c>
    </row>
    <row r="295" customFormat="false" ht="15" hidden="false" customHeight="false" outlineLevel="0" collapsed="false">
      <c r="A295" s="3" t="s">
        <v>547</v>
      </c>
      <c r="B295" s="3" t="s">
        <v>548</v>
      </c>
      <c r="C295" s="3" t="s">
        <v>75</v>
      </c>
      <c r="D295" s="3" t="s">
        <v>32</v>
      </c>
      <c r="E295" s="3" t="s">
        <v>41</v>
      </c>
      <c r="F295" s="3" t="s">
        <v>24</v>
      </c>
      <c r="G295" s="3" t="n">
        <v>14</v>
      </c>
      <c r="H295" s="3" t="n">
        <v>8999</v>
      </c>
    </row>
    <row r="296" customFormat="false" ht="15" hidden="false" customHeight="false" outlineLevel="0" collapsed="false">
      <c r="A296" s="3" t="s">
        <v>549</v>
      </c>
      <c r="B296" s="3" t="s">
        <v>216</v>
      </c>
      <c r="C296" s="3" t="s">
        <v>105</v>
      </c>
      <c r="D296" s="3" t="s">
        <v>32</v>
      </c>
      <c r="E296" s="3" t="s">
        <v>56</v>
      </c>
      <c r="F296" s="3" t="s">
        <v>18</v>
      </c>
      <c r="G296" s="3" t="n">
        <v>14</v>
      </c>
      <c r="H296" s="3" t="n">
        <v>1799</v>
      </c>
    </row>
    <row r="297" customFormat="false" ht="15" hidden="false" customHeight="false" outlineLevel="0" collapsed="false">
      <c r="A297" s="3" t="s">
        <v>550</v>
      </c>
      <c r="B297" s="3" t="s">
        <v>261</v>
      </c>
      <c r="C297" s="3" t="s">
        <v>45</v>
      </c>
      <c r="D297" s="3" t="s">
        <v>12</v>
      </c>
      <c r="E297" s="3" t="s">
        <v>17</v>
      </c>
      <c r="F297" s="3" t="s">
        <v>28</v>
      </c>
      <c r="G297" s="3" t="n">
        <v>10</v>
      </c>
      <c r="H297" s="3" t="n">
        <v>499</v>
      </c>
    </row>
    <row r="298" customFormat="false" ht="15" hidden="false" customHeight="false" outlineLevel="0" collapsed="false">
      <c r="A298" s="3" t="s">
        <v>551</v>
      </c>
      <c r="B298" s="3" t="s">
        <v>552</v>
      </c>
      <c r="C298" s="3" t="s">
        <v>105</v>
      </c>
      <c r="D298" s="3" t="s">
        <v>32</v>
      </c>
      <c r="E298" s="3" t="s">
        <v>23</v>
      </c>
      <c r="F298" s="3" t="s">
        <v>42</v>
      </c>
      <c r="G298" s="3" t="n">
        <v>6</v>
      </c>
      <c r="H298" s="3" t="n">
        <v>1799</v>
      </c>
    </row>
    <row r="299" customFormat="false" ht="15" hidden="false" customHeight="false" outlineLevel="0" collapsed="false">
      <c r="A299" s="3" t="s">
        <v>553</v>
      </c>
      <c r="B299" s="3" t="s">
        <v>554</v>
      </c>
      <c r="C299" s="3" t="s">
        <v>55</v>
      </c>
      <c r="D299" s="3" t="s">
        <v>12</v>
      </c>
      <c r="E299" s="3" t="s">
        <v>41</v>
      </c>
      <c r="F299" s="3" t="s">
        <v>35</v>
      </c>
      <c r="G299" s="3" t="n">
        <v>8</v>
      </c>
      <c r="H299" s="3" t="n">
        <v>299</v>
      </c>
    </row>
    <row r="300" customFormat="false" ht="15" hidden="false" customHeight="false" outlineLevel="0" collapsed="false">
      <c r="A300" s="3" t="s">
        <v>555</v>
      </c>
      <c r="B300" s="3" t="s">
        <v>410</v>
      </c>
      <c r="C300" s="3" t="s">
        <v>93</v>
      </c>
      <c r="D300" s="3" t="s">
        <v>12</v>
      </c>
      <c r="E300" s="3" t="s">
        <v>56</v>
      </c>
      <c r="F300" s="3" t="s">
        <v>35</v>
      </c>
      <c r="G300" s="3" t="n">
        <v>11</v>
      </c>
      <c r="H300" s="3" t="n">
        <v>1299</v>
      </c>
    </row>
    <row r="301" customFormat="false" ht="15" hidden="false" customHeight="false" outlineLevel="0" collapsed="false">
      <c r="A301" s="3" t="s">
        <v>556</v>
      </c>
      <c r="B301" s="3" t="s">
        <v>448</v>
      </c>
      <c r="C301" s="3" t="s">
        <v>93</v>
      </c>
      <c r="D301" s="3" t="s">
        <v>12</v>
      </c>
      <c r="E301" s="3" t="s">
        <v>41</v>
      </c>
      <c r="F301" s="3" t="s">
        <v>28</v>
      </c>
      <c r="G301" s="3" t="n">
        <v>11</v>
      </c>
      <c r="H301" s="3" t="n">
        <v>1299</v>
      </c>
    </row>
    <row r="302" customFormat="false" ht="15" hidden="false" customHeight="false" outlineLevel="0" collapsed="false">
      <c r="A302" s="3" t="s">
        <v>557</v>
      </c>
      <c r="B302" s="3" t="s">
        <v>44</v>
      </c>
      <c r="C302" s="3" t="s">
        <v>75</v>
      </c>
      <c r="D302" s="3" t="s">
        <v>32</v>
      </c>
      <c r="E302" s="3" t="s">
        <v>56</v>
      </c>
      <c r="F302" s="3" t="s">
        <v>18</v>
      </c>
      <c r="G302" s="3" t="n">
        <v>5</v>
      </c>
      <c r="H302" s="3" t="n">
        <v>8999</v>
      </c>
    </row>
    <row r="303" customFormat="false" ht="15" hidden="false" customHeight="false" outlineLevel="0" collapsed="false">
      <c r="A303" s="3" t="s">
        <v>558</v>
      </c>
      <c r="B303" s="3" t="s">
        <v>37</v>
      </c>
      <c r="C303" s="3" t="s">
        <v>105</v>
      </c>
      <c r="D303" s="3" t="s">
        <v>32</v>
      </c>
      <c r="E303" s="3" t="s">
        <v>311</v>
      </c>
      <c r="F303" s="3" t="s">
        <v>28</v>
      </c>
      <c r="G303" s="3" t="n">
        <v>14</v>
      </c>
      <c r="H303" s="3" t="n">
        <v>1799</v>
      </c>
    </row>
    <row r="304" customFormat="false" ht="15" hidden="false" customHeight="false" outlineLevel="0" collapsed="false">
      <c r="A304" s="3" t="s">
        <v>559</v>
      </c>
      <c r="B304" s="3" t="s">
        <v>560</v>
      </c>
      <c r="C304" s="3" t="s">
        <v>27</v>
      </c>
      <c r="D304" s="3" t="s">
        <v>22</v>
      </c>
      <c r="E304" s="3" t="s">
        <v>41</v>
      </c>
      <c r="F304" s="3" t="s">
        <v>42</v>
      </c>
      <c r="G304" s="3" t="n">
        <v>14</v>
      </c>
      <c r="H304" s="3" t="n">
        <v>899</v>
      </c>
    </row>
    <row r="305" customFormat="false" ht="15" hidden="false" customHeight="false" outlineLevel="0" collapsed="false">
      <c r="A305" s="3" t="s">
        <v>561</v>
      </c>
      <c r="B305" s="3" t="s">
        <v>562</v>
      </c>
      <c r="C305" s="3" t="s">
        <v>21</v>
      </c>
      <c r="D305" s="3" t="s">
        <v>22</v>
      </c>
      <c r="E305" s="3" t="s">
        <v>56</v>
      </c>
      <c r="F305" s="3" t="s">
        <v>24</v>
      </c>
      <c r="G305" s="3" t="n">
        <v>5</v>
      </c>
      <c r="H305" s="3" t="n">
        <v>699</v>
      </c>
    </row>
    <row r="306" customFormat="false" ht="15" hidden="false" customHeight="false" outlineLevel="0" collapsed="false">
      <c r="A306" s="3" t="s">
        <v>563</v>
      </c>
      <c r="B306" s="3" t="s">
        <v>380</v>
      </c>
      <c r="C306" s="3" t="s">
        <v>564</v>
      </c>
      <c r="D306" s="3" t="s">
        <v>12</v>
      </c>
      <c r="E306" s="3" t="s">
        <v>13</v>
      </c>
      <c r="F306" s="3" t="s">
        <v>28</v>
      </c>
      <c r="G306" s="3" t="n">
        <v>8</v>
      </c>
      <c r="H306" s="3" t="n">
        <v>499</v>
      </c>
    </row>
    <row r="307" customFormat="false" ht="15" hidden="false" customHeight="false" outlineLevel="0" collapsed="false">
      <c r="A307" s="3" t="s">
        <v>565</v>
      </c>
      <c r="B307" s="3" t="s">
        <v>566</v>
      </c>
      <c r="C307" s="3" t="s">
        <v>75</v>
      </c>
      <c r="D307" s="3" t="s">
        <v>32</v>
      </c>
      <c r="E307" s="3" t="s">
        <v>56</v>
      </c>
      <c r="F307" s="3" t="s">
        <v>35</v>
      </c>
      <c r="G307" s="3" t="n">
        <v>14</v>
      </c>
      <c r="H307" s="3" t="n">
        <v>8999</v>
      </c>
    </row>
    <row r="308" customFormat="false" ht="15" hidden="false" customHeight="false" outlineLevel="0" collapsed="false">
      <c r="A308" s="3" t="s">
        <v>567</v>
      </c>
      <c r="B308" s="3" t="s">
        <v>568</v>
      </c>
      <c r="C308" s="3" t="s">
        <v>45</v>
      </c>
      <c r="D308" s="3" t="s">
        <v>12</v>
      </c>
      <c r="E308" s="3" t="s">
        <v>41</v>
      </c>
      <c r="F308" s="3" t="s">
        <v>35</v>
      </c>
      <c r="G308" s="3" t="n">
        <v>14</v>
      </c>
      <c r="H308" s="3" t="n">
        <v>499</v>
      </c>
    </row>
    <row r="309" customFormat="false" ht="15" hidden="false" customHeight="false" outlineLevel="0" collapsed="false">
      <c r="A309" s="3" t="s">
        <v>569</v>
      </c>
      <c r="B309" s="3" t="s">
        <v>404</v>
      </c>
      <c r="C309" s="3" t="s">
        <v>16</v>
      </c>
      <c r="D309" s="3" t="s">
        <v>12</v>
      </c>
      <c r="E309" s="3" t="s">
        <v>41</v>
      </c>
      <c r="F309" s="3" t="s">
        <v>28</v>
      </c>
      <c r="G309" s="3" t="n">
        <v>8</v>
      </c>
      <c r="H309" s="3" t="n">
        <v>2499</v>
      </c>
    </row>
    <row r="310" customFormat="false" ht="15" hidden="false" customHeight="false" outlineLevel="0" collapsed="false">
      <c r="A310" s="3" t="s">
        <v>570</v>
      </c>
      <c r="B310" s="3" t="s">
        <v>182</v>
      </c>
      <c r="C310" s="3" t="s">
        <v>21</v>
      </c>
      <c r="D310" s="3" t="s">
        <v>22</v>
      </c>
      <c r="E310" s="3" t="s">
        <v>41</v>
      </c>
      <c r="F310" s="3" t="s">
        <v>18</v>
      </c>
      <c r="G310" s="3" t="n">
        <v>6</v>
      </c>
      <c r="H310" s="3" t="n">
        <v>699</v>
      </c>
    </row>
    <row r="311" customFormat="false" ht="15" hidden="false" customHeight="false" outlineLevel="0" collapsed="false">
      <c r="A311" s="3" t="s">
        <v>571</v>
      </c>
      <c r="B311" s="3" t="s">
        <v>478</v>
      </c>
      <c r="C311" s="3" t="s">
        <v>27</v>
      </c>
      <c r="D311" s="3" t="s">
        <v>22</v>
      </c>
      <c r="E311" s="3" t="s">
        <v>56</v>
      </c>
      <c r="F311" s="3" t="s">
        <v>35</v>
      </c>
      <c r="G311" s="3" t="n">
        <v>1</v>
      </c>
      <c r="H311" s="3" t="n">
        <v>899</v>
      </c>
    </row>
    <row r="312" customFormat="false" ht="15" hidden="false" customHeight="false" outlineLevel="0" collapsed="false">
      <c r="A312" s="3" t="s">
        <v>572</v>
      </c>
      <c r="B312" s="3" t="s">
        <v>37</v>
      </c>
      <c r="C312" s="3" t="s">
        <v>45</v>
      </c>
      <c r="D312" s="3" t="s">
        <v>12</v>
      </c>
      <c r="E312" s="3" t="s">
        <v>13</v>
      </c>
      <c r="F312" s="3" t="s">
        <v>18</v>
      </c>
      <c r="G312" s="3" t="n">
        <v>2</v>
      </c>
      <c r="H312" s="3" t="n">
        <v>499</v>
      </c>
    </row>
    <row r="313" customFormat="false" ht="15" hidden="false" customHeight="false" outlineLevel="0" collapsed="false">
      <c r="A313" s="3" t="s">
        <v>573</v>
      </c>
      <c r="B313" s="3" t="s">
        <v>119</v>
      </c>
      <c r="C313" s="3" t="s">
        <v>574</v>
      </c>
      <c r="D313" s="3" t="s">
        <v>22</v>
      </c>
      <c r="E313" s="3" t="s">
        <v>56</v>
      </c>
      <c r="F313" s="3" t="s">
        <v>24</v>
      </c>
      <c r="G313" s="3" t="n">
        <v>9</v>
      </c>
      <c r="H313" s="3" t="n">
        <v>899</v>
      </c>
    </row>
    <row r="314" customFormat="false" ht="15" hidden="false" customHeight="false" outlineLevel="0" collapsed="false">
      <c r="A314" s="3" t="s">
        <v>575</v>
      </c>
      <c r="B314" s="3" t="s">
        <v>576</v>
      </c>
      <c r="C314" s="3" t="s">
        <v>105</v>
      </c>
      <c r="D314" s="3" t="s">
        <v>32</v>
      </c>
      <c r="E314" s="3" t="s">
        <v>56</v>
      </c>
      <c r="F314" s="3" t="s">
        <v>24</v>
      </c>
      <c r="G314" s="3" t="n">
        <v>9</v>
      </c>
      <c r="H314" s="3" t="n">
        <v>1799</v>
      </c>
    </row>
    <row r="315" customFormat="false" ht="15" hidden="false" customHeight="false" outlineLevel="0" collapsed="false">
      <c r="A315" s="3" t="s">
        <v>577</v>
      </c>
      <c r="B315" s="3" t="s">
        <v>88</v>
      </c>
      <c r="C315" s="3" t="s">
        <v>105</v>
      </c>
      <c r="D315" s="3" t="s">
        <v>32</v>
      </c>
      <c r="E315" s="3" t="s">
        <v>41</v>
      </c>
      <c r="F315" s="3" t="s">
        <v>18</v>
      </c>
      <c r="G315" s="3" t="n">
        <v>14</v>
      </c>
      <c r="H315" s="3" t="n">
        <v>1799</v>
      </c>
    </row>
    <row r="316" customFormat="false" ht="15" hidden="false" customHeight="false" outlineLevel="0" collapsed="false">
      <c r="A316" s="3" t="s">
        <v>578</v>
      </c>
      <c r="B316" s="3" t="s">
        <v>461</v>
      </c>
      <c r="C316" s="3" t="s">
        <v>45</v>
      </c>
      <c r="D316" s="3" t="s">
        <v>12</v>
      </c>
      <c r="E316" s="3" t="s">
        <v>13</v>
      </c>
      <c r="F316" s="3" t="s">
        <v>28</v>
      </c>
      <c r="G316" s="3" t="n">
        <v>9</v>
      </c>
      <c r="H316" s="3" t="n">
        <v>499</v>
      </c>
    </row>
    <row r="317" customFormat="false" ht="15" hidden="false" customHeight="false" outlineLevel="0" collapsed="false">
      <c r="A317" s="3" t="s">
        <v>579</v>
      </c>
      <c r="B317" s="3" t="s">
        <v>110</v>
      </c>
      <c r="C317" s="3" t="s">
        <v>16</v>
      </c>
      <c r="D317" s="3" t="s">
        <v>12</v>
      </c>
      <c r="E317" s="3" t="s">
        <v>56</v>
      </c>
      <c r="F317" s="3" t="s">
        <v>28</v>
      </c>
      <c r="G317" s="3" t="n">
        <v>7</v>
      </c>
      <c r="H317" s="3" t="n">
        <v>2499</v>
      </c>
    </row>
    <row r="318" customFormat="false" ht="15" hidden="false" customHeight="false" outlineLevel="0" collapsed="false">
      <c r="A318" s="3" t="s">
        <v>580</v>
      </c>
      <c r="B318" s="3" t="s">
        <v>514</v>
      </c>
      <c r="C318" s="3" t="s">
        <v>75</v>
      </c>
      <c r="D318" s="3" t="s">
        <v>32</v>
      </c>
      <c r="E318" s="3" t="s">
        <v>141</v>
      </c>
      <c r="F318" s="3" t="s">
        <v>42</v>
      </c>
      <c r="G318" s="3" t="n">
        <v>3</v>
      </c>
      <c r="H318" s="3" t="n">
        <v>8999</v>
      </c>
    </row>
    <row r="319" customFormat="false" ht="15" hidden="false" customHeight="false" outlineLevel="0" collapsed="false">
      <c r="A319" s="3" t="s">
        <v>581</v>
      </c>
      <c r="B319" s="3" t="s">
        <v>182</v>
      </c>
      <c r="C319" s="3" t="s">
        <v>93</v>
      </c>
      <c r="D319" s="3" t="s">
        <v>12</v>
      </c>
      <c r="E319" s="3" t="s">
        <v>56</v>
      </c>
      <c r="F319" s="3" t="s">
        <v>35</v>
      </c>
      <c r="G319" s="3" t="n">
        <v>9</v>
      </c>
      <c r="H319" s="3" t="n">
        <v>1299</v>
      </c>
    </row>
    <row r="320" customFormat="false" ht="15" hidden="false" customHeight="false" outlineLevel="0" collapsed="false">
      <c r="A320" s="3" t="s">
        <v>582</v>
      </c>
      <c r="B320" s="3" t="s">
        <v>188</v>
      </c>
      <c r="C320" s="3" t="s">
        <v>38</v>
      </c>
      <c r="D320" s="3" t="s">
        <v>32</v>
      </c>
      <c r="E320" s="3" t="s">
        <v>13</v>
      </c>
      <c r="F320" s="3" t="s">
        <v>42</v>
      </c>
      <c r="G320" s="3" t="n">
        <v>2</v>
      </c>
      <c r="H320" s="3" t="n">
        <v>1999</v>
      </c>
    </row>
    <row r="321" customFormat="false" ht="15" hidden="false" customHeight="false" outlineLevel="0" collapsed="false">
      <c r="A321" s="3" t="s">
        <v>583</v>
      </c>
      <c r="B321" s="3" t="s">
        <v>584</v>
      </c>
      <c r="C321" s="3" t="s">
        <v>93</v>
      </c>
      <c r="D321" s="3" t="s">
        <v>12</v>
      </c>
      <c r="E321" s="3" t="s">
        <v>41</v>
      </c>
      <c r="F321" s="3" t="s">
        <v>42</v>
      </c>
      <c r="G321" s="3" t="n">
        <v>8</v>
      </c>
      <c r="H321" s="3" t="n">
        <v>1299</v>
      </c>
    </row>
    <row r="322" customFormat="false" ht="15" hidden="false" customHeight="false" outlineLevel="0" collapsed="false">
      <c r="A322" s="3" t="s">
        <v>585</v>
      </c>
      <c r="B322" s="3" t="s">
        <v>586</v>
      </c>
      <c r="C322" s="3" t="s">
        <v>45</v>
      </c>
      <c r="D322" s="3" t="s">
        <v>12</v>
      </c>
      <c r="E322" s="3" t="s">
        <v>13</v>
      </c>
      <c r="F322" s="3" t="s">
        <v>35</v>
      </c>
      <c r="G322" s="3" t="n">
        <v>11</v>
      </c>
      <c r="H322" s="3" t="n">
        <v>499</v>
      </c>
    </row>
    <row r="323" customFormat="false" ht="15" hidden="false" customHeight="false" outlineLevel="0" collapsed="false">
      <c r="A323" s="3" t="s">
        <v>587</v>
      </c>
      <c r="B323" s="3" t="s">
        <v>176</v>
      </c>
      <c r="C323" s="3" t="s">
        <v>21</v>
      </c>
      <c r="D323" s="3" t="s">
        <v>22</v>
      </c>
      <c r="E323" s="3" t="s">
        <v>13</v>
      </c>
      <c r="F323" s="3" t="s">
        <v>18</v>
      </c>
      <c r="G323" s="3" t="n">
        <v>7</v>
      </c>
      <c r="H323" s="3" t="n">
        <v>699</v>
      </c>
    </row>
    <row r="324" customFormat="false" ht="15" hidden="false" customHeight="false" outlineLevel="0" collapsed="false">
      <c r="A324" s="3" t="s">
        <v>588</v>
      </c>
      <c r="B324" s="3" t="s">
        <v>164</v>
      </c>
      <c r="C324" s="3" t="s">
        <v>38</v>
      </c>
      <c r="D324" s="3" t="s">
        <v>32</v>
      </c>
      <c r="E324" s="3" t="s">
        <v>56</v>
      </c>
      <c r="F324" s="3" t="s">
        <v>28</v>
      </c>
      <c r="G324" s="3" t="n">
        <v>2</v>
      </c>
      <c r="H324" s="3" t="n">
        <v>1999</v>
      </c>
    </row>
    <row r="325" customFormat="false" ht="15" hidden="false" customHeight="false" outlineLevel="0" collapsed="false">
      <c r="A325" s="3" t="s">
        <v>589</v>
      </c>
      <c r="B325" s="3" t="s">
        <v>590</v>
      </c>
      <c r="C325" s="3" t="s">
        <v>93</v>
      </c>
      <c r="D325" s="3" t="s">
        <v>12</v>
      </c>
      <c r="E325" s="3" t="s">
        <v>13</v>
      </c>
      <c r="F325" s="3" t="s">
        <v>18</v>
      </c>
      <c r="G325" s="3" t="n">
        <v>1</v>
      </c>
      <c r="H325" s="3" t="n">
        <v>1299</v>
      </c>
    </row>
    <row r="326" customFormat="false" ht="15" hidden="false" customHeight="false" outlineLevel="0" collapsed="false">
      <c r="A326" s="3" t="s">
        <v>591</v>
      </c>
      <c r="B326" s="3" t="s">
        <v>47</v>
      </c>
      <c r="C326" s="3" t="s">
        <v>16</v>
      </c>
      <c r="D326" s="3" t="s">
        <v>12</v>
      </c>
      <c r="E326" s="3" t="s">
        <v>23</v>
      </c>
      <c r="F326" s="3" t="s">
        <v>35</v>
      </c>
      <c r="G326" s="3" t="n">
        <v>1</v>
      </c>
      <c r="H326" s="3" t="n">
        <v>2499</v>
      </c>
    </row>
    <row r="327" customFormat="false" ht="15" hidden="false" customHeight="false" outlineLevel="0" collapsed="false">
      <c r="A327" s="3" t="s">
        <v>592</v>
      </c>
      <c r="B327" s="3" t="s">
        <v>593</v>
      </c>
      <c r="C327" s="3" t="s">
        <v>105</v>
      </c>
      <c r="D327" s="3" t="s">
        <v>32</v>
      </c>
      <c r="E327" s="3" t="s">
        <v>13</v>
      </c>
      <c r="F327" s="3" t="s">
        <v>24</v>
      </c>
      <c r="G327" s="3" t="n">
        <v>5</v>
      </c>
      <c r="H327" s="3" t="n">
        <v>1799</v>
      </c>
    </row>
    <row r="328" customFormat="false" ht="15" hidden="false" customHeight="false" outlineLevel="0" collapsed="false">
      <c r="A328" s="3" t="s">
        <v>594</v>
      </c>
      <c r="B328" s="3" t="s">
        <v>595</v>
      </c>
      <c r="C328" s="3" t="s">
        <v>55</v>
      </c>
      <c r="D328" s="3" t="s">
        <v>12</v>
      </c>
      <c r="E328" s="3" t="s">
        <v>41</v>
      </c>
      <c r="F328" s="3" t="s">
        <v>42</v>
      </c>
      <c r="G328" s="3" t="n">
        <v>10</v>
      </c>
      <c r="H328" s="3" t="n">
        <v>299</v>
      </c>
    </row>
    <row r="329" customFormat="false" ht="15" hidden="false" customHeight="false" outlineLevel="0" collapsed="false">
      <c r="A329" s="3" t="s">
        <v>596</v>
      </c>
      <c r="B329" s="3" t="s">
        <v>597</v>
      </c>
      <c r="C329" s="3" t="s">
        <v>38</v>
      </c>
      <c r="D329" s="3" t="s">
        <v>32</v>
      </c>
      <c r="E329" s="3" t="s">
        <v>23</v>
      </c>
      <c r="F329" s="3" t="s">
        <v>28</v>
      </c>
      <c r="G329" s="3" t="n">
        <v>13</v>
      </c>
      <c r="H329" s="3" t="n">
        <v>1999</v>
      </c>
    </row>
    <row r="330" customFormat="false" ht="15" hidden="false" customHeight="false" outlineLevel="0" collapsed="false">
      <c r="A330" s="3" t="s">
        <v>598</v>
      </c>
      <c r="B330" s="3" t="s">
        <v>220</v>
      </c>
      <c r="C330" s="3" t="s">
        <v>55</v>
      </c>
      <c r="D330" s="3" t="s">
        <v>12</v>
      </c>
      <c r="E330" s="3" t="s">
        <v>13</v>
      </c>
      <c r="F330" s="3" t="s">
        <v>42</v>
      </c>
      <c r="G330" s="3" t="n">
        <v>2</v>
      </c>
      <c r="H330" s="3" t="n">
        <v>299</v>
      </c>
    </row>
    <row r="331" customFormat="false" ht="15" hidden="false" customHeight="false" outlineLevel="0" collapsed="false">
      <c r="A331" s="3" t="s">
        <v>599</v>
      </c>
      <c r="B331" s="3" t="s">
        <v>560</v>
      </c>
      <c r="C331" s="3" t="s">
        <v>105</v>
      </c>
      <c r="D331" s="3" t="s">
        <v>32</v>
      </c>
      <c r="E331" s="3" t="s">
        <v>41</v>
      </c>
      <c r="F331" s="3" t="s">
        <v>18</v>
      </c>
      <c r="G331" s="3" t="n">
        <v>5</v>
      </c>
      <c r="H331" s="3" t="n">
        <v>1799</v>
      </c>
    </row>
    <row r="332" customFormat="false" ht="15" hidden="false" customHeight="false" outlineLevel="0" collapsed="false">
      <c r="A332" s="3" t="s">
        <v>600</v>
      </c>
      <c r="B332" s="3" t="s">
        <v>207</v>
      </c>
      <c r="C332" s="3" t="s">
        <v>93</v>
      </c>
      <c r="D332" s="3" t="s">
        <v>12</v>
      </c>
      <c r="E332" s="3" t="s">
        <v>13</v>
      </c>
      <c r="F332" s="3" t="s">
        <v>28</v>
      </c>
      <c r="G332" s="3" t="n">
        <v>1</v>
      </c>
      <c r="H332" s="3" t="n">
        <v>1299</v>
      </c>
    </row>
    <row r="333" customFormat="false" ht="15" hidden="false" customHeight="false" outlineLevel="0" collapsed="false">
      <c r="A333" s="3" t="s">
        <v>601</v>
      </c>
      <c r="B333" s="3" t="s">
        <v>602</v>
      </c>
      <c r="C333" s="3" t="s">
        <v>105</v>
      </c>
      <c r="D333" s="3" t="s">
        <v>32</v>
      </c>
      <c r="E333" s="3" t="s">
        <v>13</v>
      </c>
      <c r="F333" s="3" t="s">
        <v>18</v>
      </c>
      <c r="G333" s="3" t="n">
        <v>14</v>
      </c>
      <c r="H333" s="3" t="n">
        <v>1799</v>
      </c>
    </row>
    <row r="334" customFormat="false" ht="15" hidden="false" customHeight="false" outlineLevel="0" collapsed="false">
      <c r="A334" s="3" t="s">
        <v>603</v>
      </c>
      <c r="B334" s="3" t="s">
        <v>160</v>
      </c>
      <c r="C334" s="3" t="s">
        <v>55</v>
      </c>
      <c r="D334" s="3" t="s">
        <v>12</v>
      </c>
      <c r="E334" s="3" t="s">
        <v>56</v>
      </c>
      <c r="F334" s="3" t="s">
        <v>24</v>
      </c>
      <c r="G334" s="3" t="n">
        <v>12</v>
      </c>
      <c r="H334" s="3" t="n">
        <v>299</v>
      </c>
    </row>
    <row r="335" customFormat="false" ht="15" hidden="false" customHeight="false" outlineLevel="0" collapsed="false">
      <c r="A335" s="3" t="s">
        <v>604</v>
      </c>
      <c r="B335" s="3" t="s">
        <v>605</v>
      </c>
      <c r="C335" s="3" t="s">
        <v>21</v>
      </c>
      <c r="D335" s="3" t="s">
        <v>22</v>
      </c>
      <c r="E335" s="3" t="s">
        <v>520</v>
      </c>
      <c r="F335" s="3" t="s">
        <v>35</v>
      </c>
      <c r="G335" s="3" t="n">
        <v>7</v>
      </c>
      <c r="H335" s="3" t="n">
        <v>699</v>
      </c>
    </row>
    <row r="336" customFormat="false" ht="15" hidden="false" customHeight="false" outlineLevel="0" collapsed="false">
      <c r="A336" s="3" t="s">
        <v>606</v>
      </c>
      <c r="B336" s="3" t="s">
        <v>607</v>
      </c>
      <c r="C336" s="3" t="s">
        <v>31</v>
      </c>
      <c r="D336" s="3" t="s">
        <v>32</v>
      </c>
      <c r="E336" s="3" t="s">
        <v>13</v>
      </c>
      <c r="F336" s="3" t="s">
        <v>42</v>
      </c>
      <c r="G336" s="3" t="n">
        <v>2</v>
      </c>
      <c r="H336" s="3" t="n">
        <v>1499</v>
      </c>
    </row>
    <row r="337" customFormat="false" ht="15" hidden="false" customHeight="false" outlineLevel="0" collapsed="false">
      <c r="A337" s="3" t="s">
        <v>608</v>
      </c>
      <c r="B337" s="3" t="s">
        <v>380</v>
      </c>
      <c r="C337" s="3" t="s">
        <v>38</v>
      </c>
      <c r="D337" s="3" t="s">
        <v>32</v>
      </c>
      <c r="E337" s="3" t="s">
        <v>609</v>
      </c>
      <c r="F337" s="3" t="s">
        <v>24</v>
      </c>
      <c r="G337" s="3" t="n">
        <v>6</v>
      </c>
      <c r="H337" s="3" t="n">
        <v>1999</v>
      </c>
    </row>
    <row r="338" customFormat="false" ht="15" hidden="false" customHeight="false" outlineLevel="0" collapsed="false">
      <c r="A338" s="3" t="s">
        <v>610</v>
      </c>
      <c r="B338" s="3" t="s">
        <v>343</v>
      </c>
      <c r="C338" s="3" t="s">
        <v>45</v>
      </c>
      <c r="D338" s="3" t="s">
        <v>12</v>
      </c>
      <c r="E338" s="3" t="s">
        <v>23</v>
      </c>
      <c r="F338" s="3" t="s">
        <v>42</v>
      </c>
      <c r="G338" s="3" t="n">
        <v>9</v>
      </c>
      <c r="H338" s="3" t="n">
        <v>499</v>
      </c>
    </row>
    <row r="339" customFormat="false" ht="15" hidden="false" customHeight="false" outlineLevel="0" collapsed="false">
      <c r="A339" s="3" t="s">
        <v>611</v>
      </c>
      <c r="B339" s="3" t="s">
        <v>228</v>
      </c>
      <c r="C339" s="3" t="s">
        <v>55</v>
      </c>
      <c r="D339" s="3" t="s">
        <v>12</v>
      </c>
      <c r="E339" s="3" t="s">
        <v>23</v>
      </c>
      <c r="F339" s="3" t="s">
        <v>24</v>
      </c>
      <c r="G339" s="3" t="n">
        <v>7</v>
      </c>
      <c r="H339" s="3" t="n">
        <v>299</v>
      </c>
    </row>
    <row r="340" customFormat="false" ht="15" hidden="false" customHeight="false" outlineLevel="0" collapsed="false">
      <c r="A340" s="3" t="s">
        <v>612</v>
      </c>
      <c r="B340" s="3" t="s">
        <v>186</v>
      </c>
      <c r="C340" s="3" t="s">
        <v>16</v>
      </c>
      <c r="D340" s="3" t="s">
        <v>12</v>
      </c>
      <c r="E340" s="3" t="s">
        <v>56</v>
      </c>
      <c r="F340" s="3" t="s">
        <v>42</v>
      </c>
      <c r="G340" s="3" t="n">
        <v>6</v>
      </c>
      <c r="H340" s="3" t="n">
        <v>2499</v>
      </c>
    </row>
    <row r="341" customFormat="false" ht="15" hidden="false" customHeight="false" outlineLevel="0" collapsed="false">
      <c r="A341" s="3" t="s">
        <v>613</v>
      </c>
      <c r="B341" s="3" t="s">
        <v>100</v>
      </c>
      <c r="C341" s="3" t="s">
        <v>93</v>
      </c>
      <c r="D341" s="3" t="s">
        <v>12</v>
      </c>
      <c r="E341" s="3" t="s">
        <v>532</v>
      </c>
      <c r="F341" s="3" t="s">
        <v>35</v>
      </c>
      <c r="G341" s="3" t="n">
        <v>5</v>
      </c>
      <c r="H341" s="3" t="n">
        <v>1299</v>
      </c>
    </row>
    <row r="342" customFormat="false" ht="15" hidden="false" customHeight="false" outlineLevel="0" collapsed="false">
      <c r="A342" s="3" t="s">
        <v>614</v>
      </c>
      <c r="B342" s="3" t="s">
        <v>190</v>
      </c>
      <c r="C342" s="3" t="s">
        <v>615</v>
      </c>
      <c r="D342" s="3" t="s">
        <v>22</v>
      </c>
      <c r="E342" s="3" t="s">
        <v>41</v>
      </c>
      <c r="F342" s="3" t="s">
        <v>42</v>
      </c>
      <c r="G342" s="3" t="n">
        <v>8</v>
      </c>
      <c r="H342" s="3" t="n">
        <v>699</v>
      </c>
    </row>
    <row r="343" customFormat="false" ht="15" hidden="false" customHeight="false" outlineLevel="0" collapsed="false">
      <c r="A343" s="3" t="s">
        <v>616</v>
      </c>
      <c r="B343" s="3" t="s">
        <v>476</v>
      </c>
      <c r="C343" s="3" t="s">
        <v>38</v>
      </c>
      <c r="D343" s="3" t="s">
        <v>32</v>
      </c>
      <c r="E343" s="3" t="s">
        <v>23</v>
      </c>
      <c r="F343" s="3" t="s">
        <v>18</v>
      </c>
      <c r="G343" s="3" t="n">
        <v>5</v>
      </c>
      <c r="H343" s="3" t="n">
        <v>1999</v>
      </c>
    </row>
    <row r="344" customFormat="false" ht="15" hidden="false" customHeight="false" outlineLevel="0" collapsed="false">
      <c r="A344" s="3" t="s">
        <v>617</v>
      </c>
      <c r="B344" s="3" t="s">
        <v>618</v>
      </c>
      <c r="C344" s="3" t="s">
        <v>27</v>
      </c>
      <c r="D344" s="3" t="s">
        <v>22</v>
      </c>
      <c r="E344" s="3" t="s">
        <v>13</v>
      </c>
      <c r="F344" s="3" t="s">
        <v>42</v>
      </c>
      <c r="G344" s="3" t="n">
        <v>4</v>
      </c>
      <c r="H344" s="3" t="n">
        <v>899</v>
      </c>
    </row>
    <row r="345" customFormat="false" ht="15" hidden="false" customHeight="false" outlineLevel="0" collapsed="false">
      <c r="A345" s="3" t="s">
        <v>619</v>
      </c>
      <c r="B345" s="3" t="s">
        <v>620</v>
      </c>
      <c r="C345" s="3" t="s">
        <v>105</v>
      </c>
      <c r="D345" s="3" t="s">
        <v>32</v>
      </c>
      <c r="E345" s="3" t="s">
        <v>56</v>
      </c>
      <c r="F345" s="3" t="s">
        <v>42</v>
      </c>
      <c r="G345" s="3" t="n">
        <v>12</v>
      </c>
      <c r="H345" s="3" t="n">
        <v>1799</v>
      </c>
    </row>
    <row r="346" customFormat="false" ht="15" hidden="false" customHeight="false" outlineLevel="0" collapsed="false">
      <c r="A346" s="3" t="s">
        <v>621</v>
      </c>
      <c r="B346" s="3" t="s">
        <v>237</v>
      </c>
      <c r="C346" s="3" t="s">
        <v>16</v>
      </c>
      <c r="D346" s="3" t="s">
        <v>12</v>
      </c>
      <c r="E346" s="3" t="s">
        <v>13</v>
      </c>
      <c r="F346" s="3" t="s">
        <v>24</v>
      </c>
      <c r="G346" s="3" t="n">
        <v>5</v>
      </c>
      <c r="H346" s="3" t="n">
        <v>2499</v>
      </c>
    </row>
    <row r="347" customFormat="false" ht="15" hidden="false" customHeight="false" outlineLevel="0" collapsed="false">
      <c r="A347" s="3" t="s">
        <v>622</v>
      </c>
      <c r="B347" s="3" t="s">
        <v>605</v>
      </c>
      <c r="C347" s="3" t="s">
        <v>31</v>
      </c>
      <c r="D347" s="3" t="s">
        <v>32</v>
      </c>
      <c r="E347" s="3" t="s">
        <v>23</v>
      </c>
      <c r="F347" s="3" t="s">
        <v>35</v>
      </c>
      <c r="G347" s="3" t="n">
        <v>12</v>
      </c>
      <c r="H347" s="3" t="n">
        <v>1499</v>
      </c>
    </row>
    <row r="348" customFormat="false" ht="15" hidden="false" customHeight="false" outlineLevel="0" collapsed="false">
      <c r="A348" s="3" t="s">
        <v>623</v>
      </c>
      <c r="B348" s="3" t="s">
        <v>624</v>
      </c>
      <c r="C348" s="3" t="s">
        <v>27</v>
      </c>
      <c r="D348" s="3" t="s">
        <v>22</v>
      </c>
      <c r="E348" s="3" t="s">
        <v>23</v>
      </c>
      <c r="F348" s="3" t="s">
        <v>24</v>
      </c>
      <c r="G348" s="3" t="n">
        <v>8</v>
      </c>
      <c r="H348" s="3" t="n">
        <v>899</v>
      </c>
    </row>
    <row r="349" customFormat="false" ht="15" hidden="false" customHeight="false" outlineLevel="0" collapsed="false">
      <c r="A349" s="3" t="s">
        <v>625</v>
      </c>
      <c r="B349" s="3" t="s">
        <v>82</v>
      </c>
      <c r="C349" s="3" t="s">
        <v>105</v>
      </c>
      <c r="D349" s="3" t="s">
        <v>32</v>
      </c>
      <c r="E349" s="3" t="s">
        <v>23</v>
      </c>
      <c r="F349" s="3" t="s">
        <v>24</v>
      </c>
      <c r="G349" s="3" t="n">
        <v>7</v>
      </c>
      <c r="H349" s="3" t="n">
        <v>1799</v>
      </c>
    </row>
    <row r="350" customFormat="false" ht="15" hidden="false" customHeight="false" outlineLevel="0" collapsed="false">
      <c r="A350" s="3" t="s">
        <v>626</v>
      </c>
      <c r="B350" s="3" t="s">
        <v>607</v>
      </c>
      <c r="C350" s="3" t="s">
        <v>55</v>
      </c>
      <c r="D350" s="3" t="s">
        <v>12</v>
      </c>
      <c r="E350" s="3" t="s">
        <v>13</v>
      </c>
      <c r="F350" s="3" t="s">
        <v>18</v>
      </c>
      <c r="G350" s="3" t="n">
        <v>4</v>
      </c>
      <c r="H350" s="3" t="n">
        <v>299</v>
      </c>
    </row>
    <row r="351" customFormat="false" ht="15" hidden="false" customHeight="false" outlineLevel="0" collapsed="false">
      <c r="A351" s="3" t="s">
        <v>627</v>
      </c>
      <c r="B351" s="3" t="s">
        <v>302</v>
      </c>
      <c r="C351" s="3" t="s">
        <v>27</v>
      </c>
      <c r="D351" s="3" t="s">
        <v>22</v>
      </c>
      <c r="E351" s="3" t="s">
        <v>56</v>
      </c>
      <c r="F351" s="3" t="s">
        <v>24</v>
      </c>
      <c r="G351" s="4"/>
      <c r="H351" s="3" t="n">
        <v>899</v>
      </c>
    </row>
    <row r="352" customFormat="false" ht="15" hidden="false" customHeight="false" outlineLevel="0" collapsed="false">
      <c r="A352" s="3" t="s">
        <v>628</v>
      </c>
      <c r="B352" s="3" t="s">
        <v>291</v>
      </c>
      <c r="C352" s="3" t="s">
        <v>45</v>
      </c>
      <c r="D352" s="3" t="s">
        <v>12</v>
      </c>
      <c r="E352" s="3" t="s">
        <v>41</v>
      </c>
      <c r="F352" s="3" t="s">
        <v>18</v>
      </c>
      <c r="G352" s="3" t="n">
        <v>9</v>
      </c>
      <c r="H352" s="3" t="n">
        <v>499</v>
      </c>
    </row>
    <row r="353" customFormat="false" ht="15" hidden="false" customHeight="false" outlineLevel="0" collapsed="false">
      <c r="A353" s="3" t="s">
        <v>629</v>
      </c>
      <c r="B353" s="3" t="s">
        <v>259</v>
      </c>
      <c r="C353" s="3" t="s">
        <v>105</v>
      </c>
      <c r="D353" s="3" t="s">
        <v>32</v>
      </c>
      <c r="E353" s="3" t="s">
        <v>13</v>
      </c>
      <c r="F353" s="3" t="s">
        <v>28</v>
      </c>
      <c r="G353" s="3" t="n">
        <v>10</v>
      </c>
      <c r="H353" s="3" t="n">
        <v>1799</v>
      </c>
    </row>
    <row r="354" customFormat="false" ht="15" hidden="false" customHeight="false" outlineLevel="0" collapsed="false">
      <c r="A354" s="3" t="s">
        <v>630</v>
      </c>
      <c r="B354" s="3" t="s">
        <v>631</v>
      </c>
      <c r="C354" s="3" t="s">
        <v>16</v>
      </c>
      <c r="D354" s="3" t="s">
        <v>12</v>
      </c>
      <c r="E354" s="3" t="s">
        <v>56</v>
      </c>
      <c r="F354" s="3" t="s">
        <v>28</v>
      </c>
      <c r="G354" s="3" t="n">
        <v>1</v>
      </c>
      <c r="H354" s="3" t="n">
        <v>2499</v>
      </c>
    </row>
    <row r="355" customFormat="false" ht="15" hidden="false" customHeight="false" outlineLevel="0" collapsed="false">
      <c r="A355" s="3" t="s">
        <v>632</v>
      </c>
      <c r="B355" s="3" t="s">
        <v>26</v>
      </c>
      <c r="C355" s="3" t="s">
        <v>55</v>
      </c>
      <c r="D355" s="3" t="s">
        <v>12</v>
      </c>
      <c r="E355" s="3" t="s">
        <v>56</v>
      </c>
      <c r="F355" s="3" t="s">
        <v>28</v>
      </c>
      <c r="G355" s="3" t="n">
        <v>2</v>
      </c>
      <c r="H355" s="4"/>
    </row>
    <row r="356" customFormat="false" ht="15" hidden="false" customHeight="false" outlineLevel="0" collapsed="false">
      <c r="A356" s="3" t="s">
        <v>633</v>
      </c>
      <c r="B356" s="3" t="s">
        <v>446</v>
      </c>
      <c r="C356" s="3" t="s">
        <v>75</v>
      </c>
      <c r="D356" s="3" t="s">
        <v>32</v>
      </c>
      <c r="E356" s="3" t="s">
        <v>41</v>
      </c>
      <c r="F356" s="3" t="s">
        <v>18</v>
      </c>
      <c r="G356" s="3" t="n">
        <v>7</v>
      </c>
      <c r="H356" s="3" t="n">
        <v>8999</v>
      </c>
    </row>
    <row r="357" customFormat="false" ht="15" hidden="false" customHeight="false" outlineLevel="0" collapsed="false">
      <c r="A357" s="3" t="s">
        <v>634</v>
      </c>
      <c r="B357" s="3" t="s">
        <v>635</v>
      </c>
      <c r="C357" s="3" t="s">
        <v>16</v>
      </c>
      <c r="D357" s="3" t="s">
        <v>12</v>
      </c>
      <c r="E357" s="3" t="s">
        <v>13</v>
      </c>
      <c r="F357" s="3" t="s">
        <v>35</v>
      </c>
      <c r="G357" s="3" t="n">
        <v>4</v>
      </c>
      <c r="H357" s="3" t="n">
        <v>2499</v>
      </c>
    </row>
    <row r="358" customFormat="false" ht="15" hidden="false" customHeight="false" outlineLevel="0" collapsed="false">
      <c r="A358" s="3" t="s">
        <v>636</v>
      </c>
      <c r="B358" s="3" t="s">
        <v>226</v>
      </c>
      <c r="C358" s="3" t="s">
        <v>55</v>
      </c>
      <c r="D358" s="3" t="s">
        <v>12</v>
      </c>
      <c r="E358" s="3" t="s">
        <v>311</v>
      </c>
      <c r="F358" s="3" t="s">
        <v>28</v>
      </c>
      <c r="G358" s="3" t="n">
        <v>10</v>
      </c>
      <c r="H358" s="3" t="n">
        <v>299</v>
      </c>
    </row>
    <row r="359" customFormat="false" ht="15" hidden="false" customHeight="false" outlineLevel="0" collapsed="false">
      <c r="A359" s="3" t="s">
        <v>637</v>
      </c>
      <c r="B359" s="3" t="s">
        <v>240</v>
      </c>
      <c r="C359" s="3" t="s">
        <v>105</v>
      </c>
      <c r="D359" s="3" t="s">
        <v>32</v>
      </c>
      <c r="E359" s="3" t="s">
        <v>638</v>
      </c>
      <c r="F359" s="3" t="s">
        <v>42</v>
      </c>
      <c r="G359" s="3" t="n">
        <v>11</v>
      </c>
      <c r="H359" s="3" t="n">
        <v>1799</v>
      </c>
    </row>
    <row r="360" customFormat="false" ht="15" hidden="false" customHeight="false" outlineLevel="0" collapsed="false">
      <c r="A360" s="3" t="s">
        <v>639</v>
      </c>
      <c r="B360" s="3" t="s">
        <v>640</v>
      </c>
      <c r="C360" s="3" t="s">
        <v>75</v>
      </c>
      <c r="D360" s="3" t="s">
        <v>32</v>
      </c>
      <c r="E360" s="3" t="s">
        <v>56</v>
      </c>
      <c r="F360" s="3" t="s">
        <v>35</v>
      </c>
      <c r="G360" s="3" t="n">
        <v>4</v>
      </c>
      <c r="H360" s="3" t="n">
        <v>8999</v>
      </c>
    </row>
    <row r="361" customFormat="false" ht="15" hidden="false" customHeight="false" outlineLevel="0" collapsed="false">
      <c r="A361" s="3" t="s">
        <v>641</v>
      </c>
      <c r="B361" s="3" t="s">
        <v>493</v>
      </c>
      <c r="C361" s="3" t="s">
        <v>31</v>
      </c>
      <c r="D361" s="3" t="s">
        <v>32</v>
      </c>
      <c r="E361" s="3" t="s">
        <v>23</v>
      </c>
      <c r="F361" s="3" t="s">
        <v>35</v>
      </c>
      <c r="G361" s="3" t="n">
        <v>-11</v>
      </c>
      <c r="H361" s="3" t="n">
        <v>1499</v>
      </c>
    </row>
    <row r="362" customFormat="false" ht="15" hidden="false" customHeight="false" outlineLevel="0" collapsed="false">
      <c r="A362" s="3" t="s">
        <v>642</v>
      </c>
      <c r="B362" s="3" t="s">
        <v>37</v>
      </c>
      <c r="C362" s="3" t="s">
        <v>643</v>
      </c>
      <c r="D362" s="3" t="s">
        <v>12</v>
      </c>
      <c r="E362" s="3" t="s">
        <v>23</v>
      </c>
      <c r="F362" s="3" t="s">
        <v>42</v>
      </c>
      <c r="G362" s="3" t="n">
        <v>1</v>
      </c>
      <c r="H362" s="3" t="n">
        <v>1299</v>
      </c>
    </row>
    <row r="363" customFormat="false" ht="15" hidden="false" customHeight="false" outlineLevel="0" collapsed="false">
      <c r="A363" s="3" t="s">
        <v>644</v>
      </c>
      <c r="B363" s="3" t="s">
        <v>645</v>
      </c>
      <c r="C363" s="3" t="s">
        <v>45</v>
      </c>
      <c r="D363" s="3" t="s">
        <v>12</v>
      </c>
      <c r="E363" s="3" t="s">
        <v>23</v>
      </c>
      <c r="F363" s="3" t="s">
        <v>35</v>
      </c>
      <c r="G363" s="3" t="n">
        <v>4</v>
      </c>
      <c r="H363" s="3" t="n">
        <v>499</v>
      </c>
    </row>
    <row r="364" customFormat="false" ht="15" hidden="false" customHeight="false" outlineLevel="0" collapsed="false">
      <c r="A364" s="3" t="s">
        <v>646</v>
      </c>
      <c r="B364" s="3" t="s">
        <v>647</v>
      </c>
      <c r="C364" s="3" t="s">
        <v>45</v>
      </c>
      <c r="D364" s="3" t="s">
        <v>12</v>
      </c>
      <c r="E364" s="3" t="s">
        <v>56</v>
      </c>
      <c r="F364" s="3" t="s">
        <v>42</v>
      </c>
      <c r="G364" s="3" t="n">
        <v>4</v>
      </c>
      <c r="H364" s="3" t="n">
        <v>499</v>
      </c>
    </row>
    <row r="365" customFormat="false" ht="15" hidden="false" customHeight="false" outlineLevel="0" collapsed="false">
      <c r="A365" s="3" t="s">
        <v>648</v>
      </c>
      <c r="B365" s="3" t="s">
        <v>328</v>
      </c>
      <c r="C365" s="3" t="s">
        <v>16</v>
      </c>
      <c r="D365" s="3" t="s">
        <v>12</v>
      </c>
      <c r="E365" s="3" t="s">
        <v>13</v>
      </c>
      <c r="F365" s="3" t="s">
        <v>42</v>
      </c>
      <c r="G365" s="3" t="n">
        <v>6</v>
      </c>
      <c r="H365" s="3" t="n">
        <v>2499</v>
      </c>
    </row>
    <row r="366" customFormat="false" ht="15" hidden="false" customHeight="false" outlineLevel="0" collapsed="false">
      <c r="A366" s="3" t="s">
        <v>649</v>
      </c>
      <c r="B366" s="3" t="s">
        <v>593</v>
      </c>
      <c r="C366" s="3" t="s">
        <v>75</v>
      </c>
      <c r="D366" s="3" t="s">
        <v>32</v>
      </c>
      <c r="E366" s="3" t="s">
        <v>41</v>
      </c>
      <c r="F366" s="3" t="s">
        <v>42</v>
      </c>
      <c r="G366" s="3" t="n">
        <v>8</v>
      </c>
      <c r="H366" s="3" t="n">
        <v>8999</v>
      </c>
    </row>
    <row r="367" customFormat="false" ht="15" hidden="false" customHeight="false" outlineLevel="0" collapsed="false">
      <c r="A367" s="3" t="s">
        <v>650</v>
      </c>
      <c r="B367" s="3" t="s">
        <v>348</v>
      </c>
      <c r="C367" s="3" t="s">
        <v>75</v>
      </c>
      <c r="D367" s="3" t="s">
        <v>32</v>
      </c>
      <c r="E367" s="3" t="s">
        <v>56</v>
      </c>
      <c r="F367" s="3" t="s">
        <v>24</v>
      </c>
      <c r="G367" s="3" t="n">
        <v>6</v>
      </c>
      <c r="H367" s="3" t="n">
        <v>8999</v>
      </c>
    </row>
    <row r="368" customFormat="false" ht="15" hidden="false" customHeight="false" outlineLevel="0" collapsed="false">
      <c r="A368" s="3" t="s">
        <v>651</v>
      </c>
      <c r="B368" s="3" t="s">
        <v>319</v>
      </c>
      <c r="C368" s="3" t="s">
        <v>93</v>
      </c>
      <c r="D368" s="3" t="s">
        <v>12</v>
      </c>
      <c r="E368" s="3" t="s">
        <v>56</v>
      </c>
      <c r="F368" s="3" t="s">
        <v>42</v>
      </c>
      <c r="G368" s="3" t="n">
        <v>4</v>
      </c>
      <c r="H368" s="3" t="n">
        <v>1299</v>
      </c>
    </row>
    <row r="369" customFormat="false" ht="15" hidden="false" customHeight="false" outlineLevel="0" collapsed="false">
      <c r="A369" s="3" t="s">
        <v>652</v>
      </c>
      <c r="B369" s="3" t="s">
        <v>653</v>
      </c>
      <c r="C369" s="3" t="s">
        <v>27</v>
      </c>
      <c r="D369" s="3" t="s">
        <v>22</v>
      </c>
      <c r="E369" s="3" t="s">
        <v>56</v>
      </c>
      <c r="F369" s="3" t="s">
        <v>35</v>
      </c>
      <c r="G369" s="3" t="n">
        <v>10</v>
      </c>
      <c r="H369" s="3" t="n">
        <v>899</v>
      </c>
    </row>
    <row r="370" customFormat="false" ht="15" hidden="false" customHeight="false" outlineLevel="0" collapsed="false">
      <c r="A370" s="3" t="s">
        <v>654</v>
      </c>
      <c r="B370" s="3" t="s">
        <v>655</v>
      </c>
      <c r="C370" s="3" t="s">
        <v>105</v>
      </c>
      <c r="D370" s="3" t="s">
        <v>32</v>
      </c>
      <c r="E370" s="3" t="s">
        <v>41</v>
      </c>
      <c r="F370" s="3" t="s">
        <v>18</v>
      </c>
      <c r="G370" s="3" t="n">
        <v>5</v>
      </c>
      <c r="H370" s="3" t="n">
        <v>1799</v>
      </c>
    </row>
    <row r="371" customFormat="false" ht="15" hidden="false" customHeight="false" outlineLevel="0" collapsed="false">
      <c r="A371" s="3" t="s">
        <v>656</v>
      </c>
      <c r="B371" s="3" t="s">
        <v>351</v>
      </c>
      <c r="C371" s="3" t="s">
        <v>45</v>
      </c>
      <c r="D371" s="3" t="s">
        <v>12</v>
      </c>
      <c r="E371" s="3" t="s">
        <v>23</v>
      </c>
      <c r="F371" s="3" t="s">
        <v>42</v>
      </c>
      <c r="G371" s="3" t="n">
        <v>13</v>
      </c>
      <c r="H371" s="3" t="n">
        <v>499</v>
      </c>
    </row>
    <row r="372" customFormat="false" ht="15" hidden="false" customHeight="false" outlineLevel="0" collapsed="false">
      <c r="A372" s="3" t="s">
        <v>657</v>
      </c>
      <c r="B372" s="3" t="s">
        <v>658</v>
      </c>
      <c r="C372" s="3" t="s">
        <v>55</v>
      </c>
      <c r="D372" s="3" t="s">
        <v>12</v>
      </c>
      <c r="E372" s="3" t="s">
        <v>457</v>
      </c>
      <c r="F372" s="3" t="s">
        <v>24</v>
      </c>
      <c r="G372" s="3" t="n">
        <v>6</v>
      </c>
      <c r="H372" s="3" t="n">
        <v>299</v>
      </c>
    </row>
    <row r="373" customFormat="false" ht="15" hidden="false" customHeight="false" outlineLevel="0" collapsed="false">
      <c r="A373" s="3" t="s">
        <v>659</v>
      </c>
      <c r="B373" s="3" t="s">
        <v>660</v>
      </c>
      <c r="C373" s="3" t="s">
        <v>75</v>
      </c>
      <c r="D373" s="3" t="s">
        <v>32</v>
      </c>
      <c r="E373" s="3" t="s">
        <v>41</v>
      </c>
      <c r="F373" s="3" t="s">
        <v>42</v>
      </c>
      <c r="G373" s="3" t="n">
        <v>5</v>
      </c>
      <c r="H373" s="3" t="n">
        <v>8999</v>
      </c>
    </row>
    <row r="374" customFormat="false" ht="15" hidden="false" customHeight="false" outlineLevel="0" collapsed="false">
      <c r="A374" s="3" t="s">
        <v>661</v>
      </c>
      <c r="B374" s="3" t="s">
        <v>662</v>
      </c>
      <c r="C374" s="3" t="s">
        <v>31</v>
      </c>
      <c r="D374" s="3" t="s">
        <v>32</v>
      </c>
      <c r="E374" s="3" t="s">
        <v>41</v>
      </c>
      <c r="F374" s="3" t="s">
        <v>24</v>
      </c>
      <c r="G374" s="3" t="n">
        <v>9</v>
      </c>
      <c r="H374" s="3" t="n">
        <v>1499</v>
      </c>
    </row>
    <row r="375" customFormat="false" ht="15" hidden="false" customHeight="false" outlineLevel="0" collapsed="false">
      <c r="A375" s="3" t="s">
        <v>663</v>
      </c>
      <c r="B375" s="3" t="s">
        <v>664</v>
      </c>
      <c r="C375" s="3" t="s">
        <v>75</v>
      </c>
      <c r="D375" s="3" t="s">
        <v>32</v>
      </c>
      <c r="E375" s="3" t="s">
        <v>41</v>
      </c>
      <c r="F375" s="3" t="s">
        <v>42</v>
      </c>
      <c r="G375" s="3" t="n">
        <v>2</v>
      </c>
      <c r="H375" s="3" t="n">
        <v>8999</v>
      </c>
    </row>
    <row r="376" customFormat="false" ht="15" hidden="false" customHeight="false" outlineLevel="0" collapsed="false">
      <c r="A376" s="3" t="s">
        <v>665</v>
      </c>
      <c r="B376" s="3" t="s">
        <v>666</v>
      </c>
      <c r="C376" s="3" t="s">
        <v>27</v>
      </c>
      <c r="D376" s="3" t="s">
        <v>22</v>
      </c>
      <c r="E376" s="3" t="s">
        <v>23</v>
      </c>
      <c r="F376" s="3" t="s">
        <v>18</v>
      </c>
      <c r="G376" s="3" t="n">
        <v>13</v>
      </c>
      <c r="H376" s="3" t="n">
        <v>899</v>
      </c>
    </row>
    <row r="377" customFormat="false" ht="15" hidden="false" customHeight="false" outlineLevel="0" collapsed="false">
      <c r="A377" s="3" t="s">
        <v>667</v>
      </c>
      <c r="B377" s="3" t="s">
        <v>302</v>
      </c>
      <c r="C377" s="3" t="s">
        <v>38</v>
      </c>
      <c r="D377" s="3" t="s">
        <v>32</v>
      </c>
      <c r="E377" s="3" t="s">
        <v>41</v>
      </c>
      <c r="F377" s="3" t="s">
        <v>42</v>
      </c>
      <c r="G377" s="3" t="n">
        <v>6</v>
      </c>
      <c r="H377" s="3" t="n">
        <v>1999</v>
      </c>
    </row>
    <row r="378" customFormat="false" ht="15" hidden="false" customHeight="false" outlineLevel="0" collapsed="false">
      <c r="A378" s="3" t="s">
        <v>668</v>
      </c>
      <c r="B378" s="3" t="s">
        <v>415</v>
      </c>
      <c r="C378" s="3" t="s">
        <v>55</v>
      </c>
      <c r="D378" s="3" t="s">
        <v>12</v>
      </c>
      <c r="E378" s="3" t="s">
        <v>41</v>
      </c>
      <c r="F378" s="3" t="s">
        <v>35</v>
      </c>
      <c r="G378" s="3" t="n">
        <v>14</v>
      </c>
      <c r="H378" s="3" t="n">
        <v>299</v>
      </c>
    </row>
    <row r="379" customFormat="false" ht="15" hidden="false" customHeight="false" outlineLevel="0" collapsed="false">
      <c r="A379" s="3" t="s">
        <v>669</v>
      </c>
      <c r="B379" s="3" t="s">
        <v>522</v>
      </c>
      <c r="C379" s="3" t="s">
        <v>31</v>
      </c>
      <c r="D379" s="3" t="s">
        <v>32</v>
      </c>
      <c r="E379" s="3" t="s">
        <v>13</v>
      </c>
      <c r="F379" s="3" t="s">
        <v>28</v>
      </c>
      <c r="G379" s="3" t="n">
        <v>5</v>
      </c>
      <c r="H379" s="3" t="n">
        <v>1499</v>
      </c>
    </row>
    <row r="380" customFormat="false" ht="15" hidden="false" customHeight="false" outlineLevel="0" collapsed="false">
      <c r="A380" s="3" t="s">
        <v>670</v>
      </c>
      <c r="B380" s="3" t="s">
        <v>671</v>
      </c>
      <c r="C380" s="3" t="s">
        <v>93</v>
      </c>
      <c r="D380" s="3" t="s">
        <v>12</v>
      </c>
      <c r="E380" s="3" t="s">
        <v>13</v>
      </c>
      <c r="F380" s="3" t="s">
        <v>35</v>
      </c>
      <c r="G380" s="3" t="n">
        <v>9</v>
      </c>
      <c r="H380" s="3" t="n">
        <v>1299</v>
      </c>
    </row>
    <row r="381" customFormat="false" ht="15" hidden="false" customHeight="false" outlineLevel="0" collapsed="false">
      <c r="A381" s="3" t="s">
        <v>672</v>
      </c>
      <c r="B381" s="3" t="s">
        <v>37</v>
      </c>
      <c r="C381" s="3" t="s">
        <v>93</v>
      </c>
      <c r="D381" s="3" t="s">
        <v>12</v>
      </c>
      <c r="E381" s="3" t="s">
        <v>23</v>
      </c>
      <c r="F381" s="3" t="s">
        <v>42</v>
      </c>
      <c r="G381" s="3" t="n">
        <v>1</v>
      </c>
      <c r="H381" s="3" t="n">
        <v>1299</v>
      </c>
    </row>
    <row r="382" customFormat="false" ht="15" hidden="false" customHeight="false" outlineLevel="0" collapsed="false">
      <c r="A382" s="3" t="s">
        <v>673</v>
      </c>
      <c r="B382" s="3" t="s">
        <v>26</v>
      </c>
      <c r="C382" s="3" t="s">
        <v>16</v>
      </c>
      <c r="D382" s="3" t="s">
        <v>12</v>
      </c>
      <c r="E382" s="3" t="s">
        <v>41</v>
      </c>
      <c r="F382" s="3" t="s">
        <v>35</v>
      </c>
      <c r="G382" s="3" t="n">
        <v>5</v>
      </c>
      <c r="H382" s="3" t="n">
        <v>2499</v>
      </c>
    </row>
    <row r="383" customFormat="false" ht="15" hidden="false" customHeight="false" outlineLevel="0" collapsed="false">
      <c r="A383" s="3" t="s">
        <v>674</v>
      </c>
      <c r="B383" s="3" t="s">
        <v>675</v>
      </c>
      <c r="C383" s="3" t="s">
        <v>105</v>
      </c>
      <c r="D383" s="3" t="s">
        <v>32</v>
      </c>
      <c r="E383" s="3" t="s">
        <v>23</v>
      </c>
      <c r="F383" s="3" t="s">
        <v>28</v>
      </c>
      <c r="G383" s="3" t="n">
        <v>10</v>
      </c>
      <c r="H383" s="3" t="n">
        <v>1799</v>
      </c>
    </row>
    <row r="384" customFormat="false" ht="15" hidden="false" customHeight="false" outlineLevel="0" collapsed="false">
      <c r="A384" s="3" t="s">
        <v>676</v>
      </c>
      <c r="B384" s="3" t="s">
        <v>92</v>
      </c>
      <c r="C384" s="3" t="s">
        <v>45</v>
      </c>
      <c r="D384" s="3" t="s">
        <v>12</v>
      </c>
      <c r="E384" s="3" t="s">
        <v>41</v>
      </c>
      <c r="F384" s="3" t="s">
        <v>28</v>
      </c>
      <c r="G384" s="3" t="n">
        <v>13</v>
      </c>
      <c r="H384" s="3" t="n">
        <v>499</v>
      </c>
    </row>
    <row r="385" customFormat="false" ht="15" hidden="false" customHeight="false" outlineLevel="0" collapsed="false">
      <c r="A385" s="3" t="s">
        <v>677</v>
      </c>
      <c r="B385" s="3" t="s">
        <v>370</v>
      </c>
      <c r="C385" s="3" t="s">
        <v>27</v>
      </c>
      <c r="D385" s="3" t="s">
        <v>22</v>
      </c>
      <c r="E385" s="3" t="s">
        <v>41</v>
      </c>
      <c r="F385" s="3" t="s">
        <v>18</v>
      </c>
      <c r="G385" s="3" t="n">
        <v>3</v>
      </c>
      <c r="H385" s="3" t="n">
        <v>899</v>
      </c>
    </row>
    <row r="386" customFormat="false" ht="15" hidden="false" customHeight="false" outlineLevel="0" collapsed="false">
      <c r="A386" s="3" t="s">
        <v>678</v>
      </c>
      <c r="B386" s="3" t="s">
        <v>679</v>
      </c>
      <c r="C386" s="3" t="s">
        <v>93</v>
      </c>
      <c r="D386" s="3" t="s">
        <v>12</v>
      </c>
      <c r="E386" s="3" t="s">
        <v>56</v>
      </c>
      <c r="F386" s="3" t="s">
        <v>42</v>
      </c>
      <c r="G386" s="3" t="n">
        <v>12</v>
      </c>
      <c r="H386" s="3" t="n">
        <v>1299</v>
      </c>
    </row>
    <row r="387" customFormat="false" ht="15" hidden="false" customHeight="false" outlineLevel="0" collapsed="false">
      <c r="A387" s="3" t="s">
        <v>680</v>
      </c>
      <c r="B387" s="3" t="s">
        <v>681</v>
      </c>
      <c r="C387" s="3" t="s">
        <v>45</v>
      </c>
      <c r="D387" s="3" t="s">
        <v>12</v>
      </c>
      <c r="E387" s="3" t="s">
        <v>23</v>
      </c>
      <c r="F387" s="4"/>
      <c r="G387" s="3" t="n">
        <v>6</v>
      </c>
      <c r="H387" s="3" t="n">
        <v>499</v>
      </c>
    </row>
    <row r="388" customFormat="false" ht="15" hidden="false" customHeight="false" outlineLevel="0" collapsed="false">
      <c r="A388" s="3" t="s">
        <v>682</v>
      </c>
      <c r="B388" s="3" t="s">
        <v>683</v>
      </c>
      <c r="C388" s="3" t="s">
        <v>105</v>
      </c>
      <c r="D388" s="3" t="s">
        <v>32</v>
      </c>
      <c r="E388" s="3" t="s">
        <v>56</v>
      </c>
      <c r="F388" s="3" t="s">
        <v>28</v>
      </c>
      <c r="G388" s="3" t="n">
        <v>11</v>
      </c>
      <c r="H388" s="3" t="n">
        <v>1799</v>
      </c>
    </row>
    <row r="389" customFormat="false" ht="15" hidden="false" customHeight="false" outlineLevel="0" collapsed="false">
      <c r="A389" s="3" t="s">
        <v>684</v>
      </c>
      <c r="B389" s="3" t="s">
        <v>360</v>
      </c>
      <c r="C389" s="3" t="s">
        <v>27</v>
      </c>
      <c r="D389" s="3" t="s">
        <v>22</v>
      </c>
      <c r="E389" s="3" t="s">
        <v>56</v>
      </c>
      <c r="F389" s="3" t="s">
        <v>35</v>
      </c>
      <c r="G389" s="3" t="n">
        <v>1</v>
      </c>
      <c r="H389" s="3" t="n">
        <v>899</v>
      </c>
    </row>
    <row r="390" customFormat="false" ht="15" hidden="false" customHeight="false" outlineLevel="0" collapsed="false">
      <c r="A390" s="3" t="s">
        <v>685</v>
      </c>
      <c r="B390" s="3" t="s">
        <v>686</v>
      </c>
      <c r="C390" s="3" t="s">
        <v>93</v>
      </c>
      <c r="D390" s="3" t="s">
        <v>12</v>
      </c>
      <c r="E390" s="3" t="s">
        <v>41</v>
      </c>
      <c r="F390" s="3" t="s">
        <v>18</v>
      </c>
      <c r="G390" s="3" t="n">
        <v>2</v>
      </c>
      <c r="H390" s="3" t="n">
        <v>1299</v>
      </c>
    </row>
    <row r="391" customFormat="false" ht="15" hidden="false" customHeight="false" outlineLevel="0" collapsed="false">
      <c r="A391" s="3" t="s">
        <v>687</v>
      </c>
      <c r="B391" s="3" t="s">
        <v>688</v>
      </c>
      <c r="C391" s="3" t="s">
        <v>45</v>
      </c>
      <c r="D391" s="3" t="s">
        <v>12</v>
      </c>
      <c r="E391" s="3" t="s">
        <v>23</v>
      </c>
      <c r="F391" s="3" t="s">
        <v>28</v>
      </c>
      <c r="G391" s="3" t="n">
        <v>7</v>
      </c>
      <c r="H391" s="3" t="n">
        <v>499</v>
      </c>
    </row>
    <row r="392" customFormat="false" ht="15" hidden="false" customHeight="false" outlineLevel="0" collapsed="false">
      <c r="A392" s="3" t="s">
        <v>689</v>
      </c>
      <c r="B392" s="3" t="s">
        <v>407</v>
      </c>
      <c r="C392" s="3" t="s">
        <v>21</v>
      </c>
      <c r="D392" s="3" t="s">
        <v>22</v>
      </c>
      <c r="E392" s="3" t="s">
        <v>41</v>
      </c>
      <c r="F392" s="3" t="s">
        <v>18</v>
      </c>
      <c r="G392" s="3" t="n">
        <v>1</v>
      </c>
      <c r="H392" s="3" t="n">
        <v>699</v>
      </c>
    </row>
    <row r="393" customFormat="false" ht="15" hidden="false" customHeight="false" outlineLevel="0" collapsed="false">
      <c r="A393" s="3" t="s">
        <v>690</v>
      </c>
      <c r="B393" s="3" t="s">
        <v>98</v>
      </c>
      <c r="C393" s="3" t="s">
        <v>31</v>
      </c>
      <c r="D393" s="3" t="s">
        <v>32</v>
      </c>
      <c r="E393" s="3" t="s">
        <v>56</v>
      </c>
      <c r="F393" s="3" t="s">
        <v>28</v>
      </c>
      <c r="G393" s="3" t="n">
        <v>8</v>
      </c>
      <c r="H393" s="3" t="n">
        <v>1499</v>
      </c>
    </row>
    <row r="394" customFormat="false" ht="15" hidden="false" customHeight="false" outlineLevel="0" collapsed="false">
      <c r="A394" s="3" t="s">
        <v>691</v>
      </c>
      <c r="B394" s="3" t="s">
        <v>692</v>
      </c>
      <c r="C394" s="3" t="s">
        <v>21</v>
      </c>
      <c r="D394" s="3" t="s">
        <v>22</v>
      </c>
      <c r="E394" s="3" t="s">
        <v>13</v>
      </c>
      <c r="F394" s="3" t="s">
        <v>42</v>
      </c>
      <c r="G394" s="3" t="n">
        <v>6</v>
      </c>
      <c r="H394" s="3" t="n">
        <v>699</v>
      </c>
    </row>
    <row r="395" customFormat="false" ht="15" hidden="false" customHeight="false" outlineLevel="0" collapsed="false">
      <c r="A395" s="3" t="s">
        <v>693</v>
      </c>
      <c r="B395" s="3" t="s">
        <v>30</v>
      </c>
      <c r="C395" s="3" t="s">
        <v>31</v>
      </c>
      <c r="D395" s="3" t="s">
        <v>32</v>
      </c>
      <c r="E395" s="3" t="s">
        <v>457</v>
      </c>
      <c r="F395" s="3" t="s">
        <v>42</v>
      </c>
      <c r="G395" s="3" t="n">
        <v>1</v>
      </c>
      <c r="H395" s="3" t="n">
        <v>1499</v>
      </c>
    </row>
    <row r="396" customFormat="false" ht="15" hidden="false" customHeight="false" outlineLevel="0" collapsed="false">
      <c r="A396" s="3" t="s">
        <v>694</v>
      </c>
      <c r="B396" s="3" t="s">
        <v>291</v>
      </c>
      <c r="C396" s="3" t="s">
        <v>45</v>
      </c>
      <c r="D396" s="3" t="s">
        <v>12</v>
      </c>
      <c r="E396" s="3" t="s">
        <v>23</v>
      </c>
      <c r="F396" s="3" t="s">
        <v>35</v>
      </c>
      <c r="G396" s="3" t="n">
        <v>13</v>
      </c>
      <c r="H396" s="3" t="n">
        <v>499</v>
      </c>
    </row>
    <row r="397" customFormat="false" ht="15" hidden="false" customHeight="false" outlineLevel="0" collapsed="false">
      <c r="A397" s="3" t="s">
        <v>695</v>
      </c>
      <c r="B397" s="3" t="s">
        <v>86</v>
      </c>
      <c r="C397" s="3" t="s">
        <v>16</v>
      </c>
      <c r="D397" s="3" t="s">
        <v>12</v>
      </c>
      <c r="E397" s="3" t="s">
        <v>457</v>
      </c>
      <c r="F397" s="3" t="s">
        <v>42</v>
      </c>
      <c r="G397" s="3" t="n">
        <v>13</v>
      </c>
      <c r="H397" s="3" t="n">
        <v>2499</v>
      </c>
    </row>
    <row r="398" customFormat="false" ht="15" hidden="false" customHeight="false" outlineLevel="0" collapsed="false">
      <c r="A398" s="3" t="s">
        <v>696</v>
      </c>
      <c r="B398" s="3" t="s">
        <v>697</v>
      </c>
      <c r="C398" s="3" t="s">
        <v>27</v>
      </c>
      <c r="D398" s="3" t="s">
        <v>22</v>
      </c>
      <c r="E398" s="3" t="s">
        <v>13</v>
      </c>
      <c r="F398" s="3" t="s">
        <v>18</v>
      </c>
      <c r="G398" s="3" t="n">
        <v>10</v>
      </c>
      <c r="H398" s="3" t="n">
        <v>899</v>
      </c>
    </row>
    <row r="399" customFormat="false" ht="15" hidden="false" customHeight="false" outlineLevel="0" collapsed="false">
      <c r="A399" s="3" t="s">
        <v>698</v>
      </c>
      <c r="B399" s="3" t="s">
        <v>699</v>
      </c>
      <c r="C399" s="3" t="s">
        <v>93</v>
      </c>
      <c r="D399" s="3" t="s">
        <v>12</v>
      </c>
      <c r="E399" s="3" t="s">
        <v>23</v>
      </c>
      <c r="F399" s="3" t="s">
        <v>24</v>
      </c>
      <c r="G399" s="3" t="n">
        <v>7</v>
      </c>
      <c r="H399" s="3" t="n">
        <v>1299</v>
      </c>
    </row>
    <row r="400" customFormat="false" ht="15" hidden="false" customHeight="false" outlineLevel="0" collapsed="false">
      <c r="A400" s="3" t="s">
        <v>700</v>
      </c>
      <c r="B400" s="3" t="s">
        <v>243</v>
      </c>
      <c r="C400" s="3" t="s">
        <v>93</v>
      </c>
      <c r="D400" s="3" t="s">
        <v>12</v>
      </c>
      <c r="E400" s="3" t="s">
        <v>41</v>
      </c>
      <c r="F400" s="3" t="s">
        <v>18</v>
      </c>
      <c r="G400" s="3" t="n">
        <v>13</v>
      </c>
      <c r="H400" s="3" t="n">
        <v>1299</v>
      </c>
    </row>
    <row r="401" customFormat="false" ht="15" hidden="false" customHeight="false" outlineLevel="0" collapsed="false">
      <c r="A401" s="3" t="s">
        <v>701</v>
      </c>
      <c r="B401" s="3" t="s">
        <v>702</v>
      </c>
      <c r="C401" s="3" t="s">
        <v>31</v>
      </c>
      <c r="D401" s="3" t="s">
        <v>32</v>
      </c>
      <c r="E401" s="3" t="s">
        <v>56</v>
      </c>
      <c r="F401" s="3" t="s">
        <v>18</v>
      </c>
      <c r="G401" s="3" t="n">
        <v>9</v>
      </c>
      <c r="H401" s="3" t="n">
        <v>1499</v>
      </c>
    </row>
    <row r="402" customFormat="false" ht="15" hidden="false" customHeight="false" outlineLevel="0" collapsed="false">
      <c r="A402" s="3" t="s">
        <v>703</v>
      </c>
      <c r="B402" s="3" t="s">
        <v>704</v>
      </c>
      <c r="C402" s="3" t="s">
        <v>31</v>
      </c>
      <c r="D402" s="3" t="s">
        <v>32</v>
      </c>
      <c r="E402" s="3" t="s">
        <v>41</v>
      </c>
      <c r="F402" s="3" t="s">
        <v>35</v>
      </c>
      <c r="G402" s="3" t="n">
        <v>6</v>
      </c>
      <c r="H402" s="3" t="n">
        <v>1499</v>
      </c>
    </row>
    <row r="403" customFormat="false" ht="15" hidden="false" customHeight="false" outlineLevel="0" collapsed="false">
      <c r="A403" s="3" t="s">
        <v>705</v>
      </c>
      <c r="B403" s="3" t="s">
        <v>706</v>
      </c>
      <c r="C403" s="3" t="s">
        <v>31</v>
      </c>
      <c r="D403" s="3" t="s">
        <v>32</v>
      </c>
      <c r="E403" s="3" t="s">
        <v>17</v>
      </c>
      <c r="F403" s="3" t="s">
        <v>28</v>
      </c>
      <c r="G403" s="3" t="n">
        <v>1</v>
      </c>
      <c r="H403" s="3" t="n">
        <v>1499</v>
      </c>
    </row>
    <row r="404" customFormat="false" ht="15" hidden="false" customHeight="false" outlineLevel="0" collapsed="false">
      <c r="A404" s="3" t="s">
        <v>707</v>
      </c>
      <c r="B404" s="3" t="s">
        <v>212</v>
      </c>
      <c r="C404" s="3" t="s">
        <v>45</v>
      </c>
      <c r="D404" s="3" t="s">
        <v>12</v>
      </c>
      <c r="E404" s="3" t="s">
        <v>23</v>
      </c>
      <c r="F404" s="3" t="s">
        <v>35</v>
      </c>
      <c r="G404" s="3" t="n">
        <v>6</v>
      </c>
      <c r="H404" s="3" t="n">
        <v>499</v>
      </c>
    </row>
    <row r="405" customFormat="false" ht="15" hidden="false" customHeight="false" outlineLevel="0" collapsed="false">
      <c r="A405" s="3" t="s">
        <v>708</v>
      </c>
      <c r="B405" s="3" t="s">
        <v>709</v>
      </c>
      <c r="C405" s="3" t="s">
        <v>75</v>
      </c>
      <c r="D405" s="3" t="s">
        <v>32</v>
      </c>
      <c r="E405" s="3" t="s">
        <v>13</v>
      </c>
      <c r="F405" s="3" t="s">
        <v>24</v>
      </c>
      <c r="G405" s="3" t="n">
        <v>2</v>
      </c>
      <c r="H405" s="3" t="n">
        <v>8999</v>
      </c>
    </row>
    <row r="406" customFormat="false" ht="15" hidden="false" customHeight="false" outlineLevel="0" collapsed="false">
      <c r="A406" s="3" t="s">
        <v>710</v>
      </c>
      <c r="B406" s="3" t="s">
        <v>711</v>
      </c>
      <c r="C406" s="3" t="s">
        <v>21</v>
      </c>
      <c r="D406" s="3" t="s">
        <v>22</v>
      </c>
      <c r="E406" s="3" t="s">
        <v>56</v>
      </c>
      <c r="F406" s="3" t="s">
        <v>35</v>
      </c>
      <c r="G406" s="3" t="n">
        <v>8</v>
      </c>
      <c r="H406" s="3" t="n">
        <v>699</v>
      </c>
    </row>
    <row r="407" customFormat="false" ht="15" hidden="false" customHeight="false" outlineLevel="0" collapsed="false">
      <c r="A407" s="3" t="s">
        <v>712</v>
      </c>
      <c r="B407" s="3" t="s">
        <v>713</v>
      </c>
      <c r="C407" s="3" t="s">
        <v>93</v>
      </c>
      <c r="D407" s="3" t="s">
        <v>12</v>
      </c>
      <c r="E407" s="3" t="s">
        <v>638</v>
      </c>
      <c r="F407" s="3" t="s">
        <v>18</v>
      </c>
      <c r="G407" s="3" t="n">
        <v>9</v>
      </c>
      <c r="H407" s="3" t="n">
        <v>1299</v>
      </c>
    </row>
    <row r="408" customFormat="false" ht="15" hidden="false" customHeight="false" outlineLevel="0" collapsed="false">
      <c r="A408" s="3" t="s">
        <v>714</v>
      </c>
      <c r="B408" s="3" t="s">
        <v>715</v>
      </c>
      <c r="C408" s="3" t="s">
        <v>55</v>
      </c>
      <c r="D408" s="3" t="s">
        <v>12</v>
      </c>
      <c r="E408" s="3" t="s">
        <v>23</v>
      </c>
      <c r="F408" s="3" t="s">
        <v>42</v>
      </c>
      <c r="G408" s="3" t="n">
        <v>1</v>
      </c>
      <c r="H408" s="3" t="n">
        <v>299</v>
      </c>
    </row>
    <row r="409" customFormat="false" ht="15" hidden="false" customHeight="false" outlineLevel="0" collapsed="false">
      <c r="A409" s="3" t="s">
        <v>716</v>
      </c>
      <c r="B409" s="3" t="s">
        <v>681</v>
      </c>
      <c r="C409" s="3" t="s">
        <v>27</v>
      </c>
      <c r="D409" s="3" t="s">
        <v>22</v>
      </c>
      <c r="E409" s="3" t="s">
        <v>13</v>
      </c>
      <c r="F409" s="3" t="s">
        <v>18</v>
      </c>
      <c r="G409" s="3" t="n">
        <v>-8</v>
      </c>
      <c r="H409" s="3" t="n">
        <v>899</v>
      </c>
    </row>
    <row r="410" customFormat="false" ht="15" hidden="false" customHeight="false" outlineLevel="0" collapsed="false">
      <c r="A410" s="3" t="s">
        <v>717</v>
      </c>
      <c r="B410" s="3" t="s">
        <v>718</v>
      </c>
      <c r="C410" s="3" t="s">
        <v>75</v>
      </c>
      <c r="D410" s="3" t="s">
        <v>32</v>
      </c>
      <c r="E410" s="3" t="s">
        <v>56</v>
      </c>
      <c r="F410" s="3" t="s">
        <v>42</v>
      </c>
      <c r="G410" s="3" t="n">
        <v>3</v>
      </c>
      <c r="H410" s="3" t="n">
        <v>8999</v>
      </c>
    </row>
    <row r="411" customFormat="false" ht="15" hidden="false" customHeight="false" outlineLevel="0" collapsed="false">
      <c r="A411" s="3" t="s">
        <v>719</v>
      </c>
      <c r="B411" s="3" t="s">
        <v>47</v>
      </c>
      <c r="C411" s="3" t="s">
        <v>16</v>
      </c>
      <c r="D411" s="3" t="s">
        <v>12</v>
      </c>
      <c r="E411" s="3" t="s">
        <v>13</v>
      </c>
      <c r="F411" s="3" t="s">
        <v>18</v>
      </c>
      <c r="G411" s="3" t="n">
        <v>14</v>
      </c>
      <c r="H411" s="3" t="n">
        <v>2499</v>
      </c>
    </row>
    <row r="412" customFormat="false" ht="15" hidden="false" customHeight="false" outlineLevel="0" collapsed="false">
      <c r="A412" s="3" t="s">
        <v>720</v>
      </c>
      <c r="B412" s="3" t="s">
        <v>662</v>
      </c>
      <c r="C412" s="3" t="s">
        <v>55</v>
      </c>
      <c r="D412" s="3" t="s">
        <v>12</v>
      </c>
      <c r="E412" s="3" t="s">
        <v>23</v>
      </c>
      <c r="F412" s="3" t="s">
        <v>42</v>
      </c>
      <c r="G412" s="3" t="n">
        <v>1</v>
      </c>
      <c r="H412" s="3" t="n">
        <v>299</v>
      </c>
    </row>
    <row r="413" customFormat="false" ht="15" hidden="false" customHeight="false" outlineLevel="0" collapsed="false">
      <c r="A413" s="3" t="s">
        <v>721</v>
      </c>
      <c r="B413" s="3" t="s">
        <v>86</v>
      </c>
      <c r="C413" s="3" t="s">
        <v>27</v>
      </c>
      <c r="D413" s="3" t="s">
        <v>22</v>
      </c>
      <c r="E413" s="3" t="s">
        <v>13</v>
      </c>
      <c r="F413" s="3" t="s">
        <v>18</v>
      </c>
      <c r="G413" s="3" t="n">
        <v>5</v>
      </c>
      <c r="H413" s="3" t="n">
        <v>899</v>
      </c>
    </row>
    <row r="414" customFormat="false" ht="15" hidden="false" customHeight="false" outlineLevel="0" collapsed="false">
      <c r="A414" s="3" t="s">
        <v>722</v>
      </c>
      <c r="B414" s="3" t="s">
        <v>723</v>
      </c>
      <c r="C414" s="3" t="s">
        <v>45</v>
      </c>
      <c r="D414" s="3" t="s">
        <v>12</v>
      </c>
      <c r="E414" s="3" t="s">
        <v>56</v>
      </c>
      <c r="F414" s="3" t="s">
        <v>24</v>
      </c>
      <c r="G414" s="3" t="n">
        <v>11</v>
      </c>
      <c r="H414" s="3" t="n">
        <v>499</v>
      </c>
    </row>
    <row r="415" customFormat="false" ht="15" hidden="false" customHeight="false" outlineLevel="0" collapsed="false">
      <c r="A415" s="3" t="s">
        <v>724</v>
      </c>
      <c r="B415" s="3" t="s">
        <v>123</v>
      </c>
      <c r="C415" s="3" t="s">
        <v>21</v>
      </c>
      <c r="D415" s="3" t="s">
        <v>22</v>
      </c>
      <c r="E415" s="3" t="s">
        <v>41</v>
      </c>
      <c r="F415" s="3" t="s">
        <v>42</v>
      </c>
      <c r="G415" s="3" t="n">
        <v>8</v>
      </c>
      <c r="H415" s="3" t="n">
        <v>699</v>
      </c>
    </row>
    <row r="416" customFormat="false" ht="15" hidden="false" customHeight="false" outlineLevel="0" collapsed="false">
      <c r="A416" s="3" t="s">
        <v>725</v>
      </c>
      <c r="B416" s="3" t="s">
        <v>310</v>
      </c>
      <c r="C416" s="3" t="s">
        <v>55</v>
      </c>
      <c r="D416" s="3" t="s">
        <v>12</v>
      </c>
      <c r="E416" s="3" t="s">
        <v>23</v>
      </c>
      <c r="F416" s="3" t="s">
        <v>24</v>
      </c>
      <c r="G416" s="3" t="n">
        <v>14</v>
      </c>
      <c r="H416" s="3" t="n">
        <v>299</v>
      </c>
    </row>
    <row r="417" customFormat="false" ht="15" hidden="false" customHeight="false" outlineLevel="0" collapsed="false">
      <c r="A417" s="3" t="s">
        <v>726</v>
      </c>
      <c r="B417" s="3" t="s">
        <v>402</v>
      </c>
      <c r="C417" s="3" t="s">
        <v>55</v>
      </c>
      <c r="D417" s="3" t="s">
        <v>12</v>
      </c>
      <c r="E417" s="3" t="s">
        <v>56</v>
      </c>
      <c r="F417" s="3" t="s">
        <v>35</v>
      </c>
      <c r="G417" s="3" t="n">
        <v>7</v>
      </c>
      <c r="H417" s="3" t="n">
        <v>299</v>
      </c>
    </row>
    <row r="418" customFormat="false" ht="15" hidden="false" customHeight="false" outlineLevel="0" collapsed="false">
      <c r="A418" s="3" t="s">
        <v>727</v>
      </c>
      <c r="B418" s="3" t="s">
        <v>504</v>
      </c>
      <c r="C418" s="3" t="s">
        <v>45</v>
      </c>
      <c r="D418" s="3" t="s">
        <v>12</v>
      </c>
      <c r="E418" s="3" t="s">
        <v>13</v>
      </c>
      <c r="F418" s="3" t="s">
        <v>24</v>
      </c>
      <c r="G418" s="3" t="n">
        <v>5</v>
      </c>
      <c r="H418" s="3" t="n">
        <v>499</v>
      </c>
    </row>
    <row r="419" customFormat="false" ht="15" hidden="false" customHeight="false" outlineLevel="0" collapsed="false">
      <c r="A419" s="3" t="s">
        <v>728</v>
      </c>
      <c r="B419" s="3" t="s">
        <v>635</v>
      </c>
      <c r="C419" s="3" t="s">
        <v>55</v>
      </c>
      <c r="D419" s="3" t="s">
        <v>12</v>
      </c>
      <c r="E419" s="3" t="s">
        <v>23</v>
      </c>
      <c r="F419" s="3" t="s">
        <v>28</v>
      </c>
      <c r="G419" s="3" t="n">
        <v>6</v>
      </c>
      <c r="H419" s="3" t="n">
        <v>299</v>
      </c>
    </row>
    <row r="420" customFormat="false" ht="15" hidden="false" customHeight="false" outlineLevel="0" collapsed="false">
      <c r="A420" s="3" t="s">
        <v>729</v>
      </c>
      <c r="B420" s="3" t="s">
        <v>354</v>
      </c>
      <c r="C420" s="3" t="s">
        <v>75</v>
      </c>
      <c r="D420" s="3" t="s">
        <v>32</v>
      </c>
      <c r="E420" s="3" t="s">
        <v>23</v>
      </c>
      <c r="F420" s="3" t="s">
        <v>42</v>
      </c>
      <c r="G420" s="3" t="n">
        <v>14</v>
      </c>
      <c r="H420" s="3" t="n">
        <v>8999</v>
      </c>
    </row>
    <row r="421" customFormat="false" ht="15" hidden="false" customHeight="false" outlineLevel="0" collapsed="false">
      <c r="A421" s="3" t="s">
        <v>730</v>
      </c>
      <c r="B421" s="3" t="s">
        <v>386</v>
      </c>
      <c r="C421" s="3" t="s">
        <v>93</v>
      </c>
      <c r="D421" s="3" t="s">
        <v>12</v>
      </c>
      <c r="E421" s="3" t="s">
        <v>23</v>
      </c>
      <c r="F421" s="3" t="s">
        <v>28</v>
      </c>
      <c r="G421" s="3" t="n">
        <v>3</v>
      </c>
      <c r="H421" s="3" t="n">
        <v>1299</v>
      </c>
    </row>
    <row r="422" customFormat="false" ht="15" hidden="false" customHeight="false" outlineLevel="0" collapsed="false">
      <c r="A422" s="3" t="s">
        <v>731</v>
      </c>
      <c r="B422" s="3" t="s">
        <v>274</v>
      </c>
      <c r="C422" s="3" t="s">
        <v>55</v>
      </c>
      <c r="D422" s="3" t="s">
        <v>12</v>
      </c>
      <c r="E422" s="3" t="s">
        <v>41</v>
      </c>
      <c r="F422" s="3" t="s">
        <v>42</v>
      </c>
      <c r="G422" s="3" t="n">
        <v>2</v>
      </c>
      <c r="H422" s="3" t="n">
        <v>299</v>
      </c>
    </row>
    <row r="423" customFormat="false" ht="15" hidden="false" customHeight="false" outlineLevel="0" collapsed="false">
      <c r="A423" s="3" t="s">
        <v>732</v>
      </c>
      <c r="B423" s="3" t="s">
        <v>733</v>
      </c>
      <c r="C423" s="3" t="s">
        <v>75</v>
      </c>
      <c r="D423" s="3" t="s">
        <v>32</v>
      </c>
      <c r="E423" s="3" t="s">
        <v>23</v>
      </c>
      <c r="F423" s="3" t="s">
        <v>42</v>
      </c>
      <c r="G423" s="3" t="n">
        <v>10</v>
      </c>
      <c r="H423" s="3" t="n">
        <v>8999</v>
      </c>
    </row>
    <row r="424" customFormat="false" ht="15" hidden="false" customHeight="false" outlineLevel="0" collapsed="false">
      <c r="A424" s="3" t="s">
        <v>734</v>
      </c>
      <c r="B424" s="3" t="s">
        <v>635</v>
      </c>
      <c r="C424" s="3" t="s">
        <v>735</v>
      </c>
      <c r="D424" s="3" t="s">
        <v>12</v>
      </c>
      <c r="E424" s="3" t="s">
        <v>56</v>
      </c>
      <c r="F424" s="3" t="s">
        <v>42</v>
      </c>
      <c r="G424" s="3" t="n">
        <v>11</v>
      </c>
      <c r="H424" s="3" t="n">
        <v>2499</v>
      </c>
    </row>
    <row r="425" customFormat="false" ht="15" hidden="false" customHeight="false" outlineLevel="0" collapsed="false">
      <c r="A425" s="3" t="s">
        <v>736</v>
      </c>
      <c r="B425" s="3" t="s">
        <v>737</v>
      </c>
      <c r="C425" s="3" t="s">
        <v>21</v>
      </c>
      <c r="D425" s="3" t="s">
        <v>22</v>
      </c>
      <c r="E425" s="3" t="s">
        <v>23</v>
      </c>
      <c r="F425" s="3" t="s">
        <v>35</v>
      </c>
      <c r="G425" s="3" t="n">
        <v>10</v>
      </c>
      <c r="H425" s="3" t="n">
        <v>699</v>
      </c>
    </row>
    <row r="426" customFormat="false" ht="15" hidden="false" customHeight="false" outlineLevel="0" collapsed="false">
      <c r="A426" s="3" t="s">
        <v>738</v>
      </c>
      <c r="B426" s="3" t="s">
        <v>562</v>
      </c>
      <c r="C426" s="3" t="s">
        <v>45</v>
      </c>
      <c r="D426" s="3" t="s">
        <v>12</v>
      </c>
      <c r="E426" s="3" t="s">
        <v>23</v>
      </c>
      <c r="F426" s="3" t="s">
        <v>24</v>
      </c>
      <c r="G426" s="3" t="n">
        <v>6</v>
      </c>
      <c r="H426" s="3" t="n">
        <v>499</v>
      </c>
    </row>
    <row r="427" customFormat="false" ht="15" hidden="false" customHeight="false" outlineLevel="0" collapsed="false">
      <c r="A427" s="3" t="s">
        <v>739</v>
      </c>
      <c r="B427" s="3" t="s">
        <v>489</v>
      </c>
      <c r="C427" s="3" t="s">
        <v>45</v>
      </c>
      <c r="D427" s="3" t="s">
        <v>12</v>
      </c>
      <c r="E427" s="3" t="s">
        <v>23</v>
      </c>
      <c r="F427" s="3" t="s">
        <v>35</v>
      </c>
      <c r="G427" s="3" t="n">
        <v>1</v>
      </c>
      <c r="H427" s="3" t="n">
        <v>499</v>
      </c>
    </row>
    <row r="428" customFormat="false" ht="15" hidden="false" customHeight="false" outlineLevel="0" collapsed="false">
      <c r="A428" s="3" t="s">
        <v>740</v>
      </c>
      <c r="B428" s="3" t="s">
        <v>473</v>
      </c>
      <c r="C428" s="3" t="s">
        <v>45</v>
      </c>
      <c r="D428" s="3" t="s">
        <v>12</v>
      </c>
      <c r="E428" s="3" t="s">
        <v>56</v>
      </c>
      <c r="F428" s="3" t="s">
        <v>35</v>
      </c>
      <c r="G428" s="3" t="n">
        <v>13</v>
      </c>
      <c r="H428" s="3" t="n">
        <v>499</v>
      </c>
    </row>
    <row r="429" customFormat="false" ht="15" hidden="false" customHeight="false" outlineLevel="0" collapsed="false">
      <c r="A429" s="3" t="s">
        <v>741</v>
      </c>
      <c r="B429" s="3" t="s">
        <v>506</v>
      </c>
      <c r="C429" s="3" t="s">
        <v>27</v>
      </c>
      <c r="D429" s="3" t="s">
        <v>22</v>
      </c>
      <c r="E429" s="3" t="s">
        <v>113</v>
      </c>
      <c r="F429" s="3" t="s">
        <v>18</v>
      </c>
      <c r="G429" s="3" t="n">
        <v>13</v>
      </c>
      <c r="H429" s="3" t="n">
        <v>899</v>
      </c>
    </row>
    <row r="430" customFormat="false" ht="15" hidden="false" customHeight="false" outlineLevel="0" collapsed="false">
      <c r="A430" s="3" t="s">
        <v>742</v>
      </c>
      <c r="B430" s="3" t="s">
        <v>386</v>
      </c>
      <c r="C430" s="3" t="s">
        <v>55</v>
      </c>
      <c r="D430" s="3" t="s">
        <v>12</v>
      </c>
      <c r="E430" s="3" t="s">
        <v>56</v>
      </c>
      <c r="F430" s="3" t="s">
        <v>42</v>
      </c>
      <c r="G430" s="3" t="n">
        <v>12</v>
      </c>
      <c r="H430" s="3" t="n">
        <v>299</v>
      </c>
    </row>
    <row r="431" customFormat="false" ht="15" hidden="false" customHeight="false" outlineLevel="0" collapsed="false">
      <c r="A431" s="3" t="s">
        <v>743</v>
      </c>
      <c r="B431" s="3" t="s">
        <v>744</v>
      </c>
      <c r="C431" s="3" t="s">
        <v>38</v>
      </c>
      <c r="D431" s="3" t="s">
        <v>32</v>
      </c>
      <c r="E431" s="3" t="s">
        <v>41</v>
      </c>
      <c r="F431" s="3" t="s">
        <v>24</v>
      </c>
      <c r="G431" s="3" t="n">
        <v>12</v>
      </c>
      <c r="H431" s="3" t="n">
        <v>1999</v>
      </c>
    </row>
    <row r="432" customFormat="false" ht="15" hidden="false" customHeight="false" outlineLevel="0" collapsed="false">
      <c r="A432" s="3" t="s">
        <v>745</v>
      </c>
      <c r="B432" s="3" t="s">
        <v>199</v>
      </c>
      <c r="C432" s="3" t="s">
        <v>31</v>
      </c>
      <c r="D432" s="3" t="s">
        <v>32</v>
      </c>
      <c r="E432" s="3" t="s">
        <v>13</v>
      </c>
      <c r="F432" s="3" t="s">
        <v>28</v>
      </c>
      <c r="G432" s="3" t="n">
        <v>5</v>
      </c>
      <c r="H432" s="3" t="n">
        <v>1499</v>
      </c>
    </row>
    <row r="433" customFormat="false" ht="15" hidden="false" customHeight="false" outlineLevel="0" collapsed="false">
      <c r="A433" s="3" t="s">
        <v>746</v>
      </c>
      <c r="B433" s="3" t="s">
        <v>747</v>
      </c>
      <c r="C433" s="3" t="s">
        <v>93</v>
      </c>
      <c r="D433" s="3" t="s">
        <v>12</v>
      </c>
      <c r="E433" s="3" t="s">
        <v>23</v>
      </c>
      <c r="F433" s="4"/>
      <c r="G433" s="3" t="n">
        <v>5</v>
      </c>
      <c r="H433" s="3" t="n">
        <v>1299</v>
      </c>
    </row>
    <row r="434" customFormat="false" ht="15" hidden="false" customHeight="false" outlineLevel="0" collapsed="false">
      <c r="A434" s="3" t="s">
        <v>748</v>
      </c>
      <c r="B434" s="3" t="s">
        <v>749</v>
      </c>
      <c r="C434" s="3" t="s">
        <v>45</v>
      </c>
      <c r="D434" s="3" t="s">
        <v>12</v>
      </c>
      <c r="E434" s="3" t="s">
        <v>41</v>
      </c>
      <c r="F434" s="3" t="s">
        <v>28</v>
      </c>
      <c r="G434" s="3" t="n">
        <v>9</v>
      </c>
      <c r="H434" s="3" t="n">
        <v>499</v>
      </c>
    </row>
    <row r="435" customFormat="false" ht="15" hidden="false" customHeight="false" outlineLevel="0" collapsed="false">
      <c r="A435" s="3" t="s">
        <v>750</v>
      </c>
      <c r="B435" s="3" t="s">
        <v>751</v>
      </c>
      <c r="C435" s="3" t="s">
        <v>21</v>
      </c>
      <c r="D435" s="3" t="s">
        <v>22</v>
      </c>
      <c r="E435" s="3" t="s">
        <v>23</v>
      </c>
      <c r="F435" s="3" t="s">
        <v>42</v>
      </c>
      <c r="G435" s="3" t="n">
        <v>11</v>
      </c>
      <c r="H435" s="3" t="n">
        <v>699</v>
      </c>
    </row>
    <row r="436" customFormat="false" ht="15" hidden="false" customHeight="false" outlineLevel="0" collapsed="false">
      <c r="A436" s="3" t="s">
        <v>752</v>
      </c>
      <c r="B436" s="3" t="s">
        <v>104</v>
      </c>
      <c r="C436" s="3" t="s">
        <v>16</v>
      </c>
      <c r="D436" s="3" t="s">
        <v>12</v>
      </c>
      <c r="E436" s="3" t="s">
        <v>23</v>
      </c>
      <c r="F436" s="3" t="s">
        <v>35</v>
      </c>
      <c r="G436" s="3" t="n">
        <v>5</v>
      </c>
      <c r="H436" s="3" t="n">
        <v>2499</v>
      </c>
    </row>
    <row r="437" customFormat="false" ht="15" hidden="false" customHeight="false" outlineLevel="0" collapsed="false">
      <c r="A437" s="3" t="s">
        <v>753</v>
      </c>
      <c r="B437" s="3" t="s">
        <v>754</v>
      </c>
      <c r="C437" s="3" t="s">
        <v>45</v>
      </c>
      <c r="D437" s="3" t="s">
        <v>12</v>
      </c>
      <c r="E437" s="3" t="s">
        <v>41</v>
      </c>
      <c r="F437" s="3" t="s">
        <v>28</v>
      </c>
      <c r="G437" s="3" t="n">
        <v>11</v>
      </c>
      <c r="H437" s="3" t="n">
        <v>499</v>
      </c>
    </row>
    <row r="438" customFormat="false" ht="15" hidden="false" customHeight="false" outlineLevel="0" collapsed="false">
      <c r="A438" s="3" t="s">
        <v>755</v>
      </c>
      <c r="B438" s="3" t="s">
        <v>756</v>
      </c>
      <c r="C438" s="3" t="s">
        <v>27</v>
      </c>
      <c r="D438" s="3" t="s">
        <v>22</v>
      </c>
      <c r="E438" s="3" t="s">
        <v>41</v>
      </c>
      <c r="F438" s="3" t="s">
        <v>42</v>
      </c>
      <c r="G438" s="3" t="n">
        <v>8</v>
      </c>
      <c r="H438" s="3" t="n">
        <v>899</v>
      </c>
    </row>
    <row r="439" customFormat="false" ht="15" hidden="false" customHeight="false" outlineLevel="0" collapsed="false">
      <c r="A439" s="3" t="s">
        <v>757</v>
      </c>
      <c r="B439" s="3" t="s">
        <v>522</v>
      </c>
      <c r="C439" s="3" t="s">
        <v>31</v>
      </c>
      <c r="D439" s="3" t="s">
        <v>32</v>
      </c>
      <c r="E439" s="3" t="s">
        <v>56</v>
      </c>
      <c r="F439" s="3" t="s">
        <v>24</v>
      </c>
      <c r="G439" s="3" t="n">
        <v>5</v>
      </c>
      <c r="H439" s="3" t="n">
        <v>1499</v>
      </c>
    </row>
    <row r="440" customFormat="false" ht="15" hidden="false" customHeight="false" outlineLevel="0" collapsed="false">
      <c r="A440" s="3" t="s">
        <v>758</v>
      </c>
      <c r="B440" s="3" t="s">
        <v>759</v>
      </c>
      <c r="C440" s="3" t="s">
        <v>105</v>
      </c>
      <c r="D440" s="3" t="s">
        <v>32</v>
      </c>
      <c r="E440" s="3" t="s">
        <v>41</v>
      </c>
      <c r="F440" s="3" t="s">
        <v>42</v>
      </c>
      <c r="G440" s="4"/>
      <c r="H440" s="3" t="n">
        <v>1799</v>
      </c>
    </row>
    <row r="441" customFormat="false" ht="15" hidden="false" customHeight="false" outlineLevel="0" collapsed="false">
      <c r="A441" s="3" t="s">
        <v>760</v>
      </c>
      <c r="B441" s="3" t="s">
        <v>473</v>
      </c>
      <c r="C441" s="3" t="s">
        <v>75</v>
      </c>
      <c r="D441" s="3" t="s">
        <v>32</v>
      </c>
      <c r="E441" s="3" t="s">
        <v>23</v>
      </c>
      <c r="F441" s="3" t="s">
        <v>35</v>
      </c>
      <c r="G441" s="3" t="n">
        <v>13</v>
      </c>
      <c r="H441" s="3" t="n">
        <v>8999</v>
      </c>
    </row>
    <row r="442" customFormat="false" ht="15" hidden="false" customHeight="false" outlineLevel="0" collapsed="false">
      <c r="A442" s="3" t="s">
        <v>761</v>
      </c>
      <c r="B442" s="3" t="s">
        <v>280</v>
      </c>
      <c r="C442" s="3" t="s">
        <v>55</v>
      </c>
      <c r="D442" s="3" t="s">
        <v>12</v>
      </c>
      <c r="E442" s="3" t="s">
        <v>23</v>
      </c>
      <c r="F442" s="3" t="s">
        <v>42</v>
      </c>
      <c r="G442" s="3" t="n">
        <v>6</v>
      </c>
      <c r="H442" s="3" t="n">
        <v>299</v>
      </c>
    </row>
    <row r="443" customFormat="false" ht="15" hidden="false" customHeight="false" outlineLevel="0" collapsed="false">
      <c r="A443" s="3" t="s">
        <v>762</v>
      </c>
      <c r="B443" s="3" t="s">
        <v>763</v>
      </c>
      <c r="C443" s="3" t="s">
        <v>45</v>
      </c>
      <c r="D443" s="3" t="s">
        <v>12</v>
      </c>
      <c r="E443" s="3" t="s">
        <v>13</v>
      </c>
      <c r="F443" s="3" t="s">
        <v>42</v>
      </c>
      <c r="G443" s="3" t="n">
        <v>8</v>
      </c>
      <c r="H443" s="3" t="n">
        <v>499</v>
      </c>
    </row>
    <row r="444" customFormat="false" ht="15" hidden="false" customHeight="false" outlineLevel="0" collapsed="false">
      <c r="A444" s="3" t="s">
        <v>764</v>
      </c>
      <c r="B444" s="3" t="s">
        <v>706</v>
      </c>
      <c r="C444" s="3" t="s">
        <v>93</v>
      </c>
      <c r="D444" s="3" t="s">
        <v>12</v>
      </c>
      <c r="E444" s="3" t="s">
        <v>13</v>
      </c>
      <c r="F444" s="3" t="s">
        <v>35</v>
      </c>
      <c r="G444" s="3" t="n">
        <v>11</v>
      </c>
      <c r="H444" s="3" t="n">
        <v>1299</v>
      </c>
    </row>
    <row r="445" customFormat="false" ht="15" hidden="false" customHeight="false" outlineLevel="0" collapsed="false">
      <c r="A445" s="3" t="s">
        <v>765</v>
      </c>
      <c r="B445" s="3" t="s">
        <v>302</v>
      </c>
      <c r="C445" s="3" t="s">
        <v>21</v>
      </c>
      <c r="D445" s="3" t="s">
        <v>22</v>
      </c>
      <c r="E445" s="3" t="s">
        <v>56</v>
      </c>
      <c r="F445" s="3" t="s">
        <v>28</v>
      </c>
      <c r="G445" s="3" t="n">
        <v>7</v>
      </c>
      <c r="H445" s="3" t="n">
        <v>699</v>
      </c>
    </row>
    <row r="446" customFormat="false" ht="15" hidden="false" customHeight="false" outlineLevel="0" collapsed="false">
      <c r="A446" s="3" t="s">
        <v>766</v>
      </c>
      <c r="B446" s="3" t="s">
        <v>419</v>
      </c>
      <c r="C446" s="3" t="s">
        <v>31</v>
      </c>
      <c r="D446" s="3" t="s">
        <v>32</v>
      </c>
      <c r="E446" s="3" t="s">
        <v>41</v>
      </c>
      <c r="F446" s="3" t="s">
        <v>35</v>
      </c>
      <c r="G446" s="3" t="n">
        <v>1</v>
      </c>
      <c r="H446" s="3" t="n">
        <v>1499</v>
      </c>
    </row>
    <row r="447" customFormat="false" ht="15" hidden="false" customHeight="false" outlineLevel="0" collapsed="false">
      <c r="A447" s="3" t="s">
        <v>767</v>
      </c>
      <c r="B447" s="3" t="s">
        <v>605</v>
      </c>
      <c r="C447" s="3" t="s">
        <v>45</v>
      </c>
      <c r="D447" s="3" t="s">
        <v>12</v>
      </c>
      <c r="E447" s="3" t="s">
        <v>41</v>
      </c>
      <c r="F447" s="3" t="s">
        <v>18</v>
      </c>
      <c r="G447" s="3" t="n">
        <v>13</v>
      </c>
      <c r="H447" s="3" t="n">
        <v>499</v>
      </c>
    </row>
    <row r="448" customFormat="false" ht="15" hidden="false" customHeight="false" outlineLevel="0" collapsed="false">
      <c r="A448" s="3" t="s">
        <v>768</v>
      </c>
      <c r="B448" s="3" t="s">
        <v>321</v>
      </c>
      <c r="C448" s="3" t="s">
        <v>55</v>
      </c>
      <c r="D448" s="3" t="s">
        <v>12</v>
      </c>
      <c r="E448" s="3" t="s">
        <v>41</v>
      </c>
      <c r="F448" s="3" t="s">
        <v>42</v>
      </c>
      <c r="G448" s="3" t="n">
        <v>3</v>
      </c>
      <c r="H448" s="3" t="n">
        <v>299</v>
      </c>
    </row>
    <row r="449" customFormat="false" ht="15" hidden="false" customHeight="false" outlineLevel="0" collapsed="false">
      <c r="A449" s="3" t="s">
        <v>769</v>
      </c>
      <c r="B449" s="3" t="s">
        <v>510</v>
      </c>
      <c r="C449" s="3" t="s">
        <v>27</v>
      </c>
      <c r="D449" s="3" t="s">
        <v>22</v>
      </c>
      <c r="E449" s="3" t="s">
        <v>23</v>
      </c>
      <c r="F449" s="3" t="s">
        <v>42</v>
      </c>
      <c r="G449" s="3" t="n">
        <v>1</v>
      </c>
      <c r="H449" s="3" t="n">
        <v>899</v>
      </c>
    </row>
    <row r="450" customFormat="false" ht="15" hidden="false" customHeight="false" outlineLevel="0" collapsed="false">
      <c r="A450" s="3" t="s">
        <v>770</v>
      </c>
      <c r="B450" s="3" t="s">
        <v>771</v>
      </c>
      <c r="C450" s="3" t="s">
        <v>31</v>
      </c>
      <c r="D450" s="3" t="s">
        <v>32</v>
      </c>
      <c r="E450" s="3" t="s">
        <v>23</v>
      </c>
      <c r="F450" s="3" t="s">
        <v>42</v>
      </c>
      <c r="G450" s="3" t="n">
        <v>12</v>
      </c>
      <c r="H450" s="3" t="n">
        <v>1499</v>
      </c>
    </row>
    <row r="451" customFormat="false" ht="15" hidden="false" customHeight="false" outlineLevel="0" collapsed="false">
      <c r="A451" s="3" t="s">
        <v>772</v>
      </c>
      <c r="B451" s="3" t="s">
        <v>245</v>
      </c>
      <c r="C451" s="3" t="s">
        <v>38</v>
      </c>
      <c r="D451" s="3" t="s">
        <v>32</v>
      </c>
      <c r="E451" s="3" t="s">
        <v>56</v>
      </c>
      <c r="F451" s="3" t="s">
        <v>35</v>
      </c>
      <c r="G451" s="3" t="n">
        <v>8</v>
      </c>
      <c r="H451" s="3" t="n">
        <v>1999</v>
      </c>
    </row>
    <row r="452" customFormat="false" ht="15" hidden="false" customHeight="false" outlineLevel="0" collapsed="false">
      <c r="A452" s="3" t="s">
        <v>773</v>
      </c>
      <c r="B452" s="3" t="s">
        <v>230</v>
      </c>
      <c r="C452" s="3" t="s">
        <v>93</v>
      </c>
      <c r="D452" s="3" t="s">
        <v>12</v>
      </c>
      <c r="E452" s="3" t="s">
        <v>23</v>
      </c>
      <c r="F452" s="3" t="s">
        <v>28</v>
      </c>
      <c r="G452" s="3" t="n">
        <v>5</v>
      </c>
      <c r="H452" s="3" t="n">
        <v>1299</v>
      </c>
    </row>
    <row r="453" customFormat="false" ht="15" hidden="false" customHeight="false" outlineLevel="0" collapsed="false">
      <c r="A453" s="3" t="s">
        <v>774</v>
      </c>
      <c r="B453" s="3" t="s">
        <v>50</v>
      </c>
      <c r="C453" s="3" t="s">
        <v>21</v>
      </c>
      <c r="D453" s="3" t="s">
        <v>22</v>
      </c>
      <c r="E453" s="3" t="s">
        <v>13</v>
      </c>
      <c r="F453" s="3" t="s">
        <v>28</v>
      </c>
      <c r="G453" s="3" t="n">
        <v>3</v>
      </c>
      <c r="H453" s="3" t="n">
        <v>699</v>
      </c>
    </row>
    <row r="454" customFormat="false" ht="15" hidden="false" customHeight="false" outlineLevel="0" collapsed="false">
      <c r="A454" s="3" t="s">
        <v>775</v>
      </c>
      <c r="B454" s="3" t="s">
        <v>514</v>
      </c>
      <c r="C454" s="3" t="s">
        <v>21</v>
      </c>
      <c r="D454" s="3" t="s">
        <v>22</v>
      </c>
      <c r="E454" s="3" t="s">
        <v>13</v>
      </c>
      <c r="F454" s="3" t="s">
        <v>28</v>
      </c>
      <c r="G454" s="4"/>
      <c r="H454" s="3" t="n">
        <v>699</v>
      </c>
    </row>
    <row r="455" customFormat="false" ht="15" hidden="false" customHeight="false" outlineLevel="0" collapsed="false">
      <c r="A455" s="3" t="s">
        <v>776</v>
      </c>
      <c r="B455" s="3" t="s">
        <v>328</v>
      </c>
      <c r="C455" s="3" t="s">
        <v>93</v>
      </c>
      <c r="D455" s="3" t="s">
        <v>12</v>
      </c>
      <c r="E455" s="3" t="s">
        <v>41</v>
      </c>
      <c r="F455" s="3" t="s">
        <v>18</v>
      </c>
      <c r="G455" s="3" t="n">
        <v>4</v>
      </c>
      <c r="H455" s="3" t="n">
        <v>1299</v>
      </c>
    </row>
    <row r="456" customFormat="false" ht="15" hidden="false" customHeight="false" outlineLevel="0" collapsed="false">
      <c r="A456" s="3" t="s">
        <v>777</v>
      </c>
      <c r="B456" s="3" t="s">
        <v>264</v>
      </c>
      <c r="C456" s="3" t="s">
        <v>16</v>
      </c>
      <c r="D456" s="3" t="s">
        <v>12</v>
      </c>
      <c r="E456" s="3" t="s">
        <v>41</v>
      </c>
      <c r="F456" s="3" t="s">
        <v>28</v>
      </c>
      <c r="G456" s="3" t="n">
        <v>11</v>
      </c>
      <c r="H456" s="3" t="n">
        <v>2499</v>
      </c>
    </row>
    <row r="457" customFormat="false" ht="15" hidden="false" customHeight="false" outlineLevel="0" collapsed="false">
      <c r="A457" s="3" t="s">
        <v>778</v>
      </c>
      <c r="B457" s="3" t="s">
        <v>300</v>
      </c>
      <c r="C457" s="3" t="s">
        <v>38</v>
      </c>
      <c r="D457" s="3" t="s">
        <v>32</v>
      </c>
      <c r="E457" s="3" t="s">
        <v>41</v>
      </c>
      <c r="F457" s="3" t="s">
        <v>35</v>
      </c>
      <c r="G457" s="3" t="n">
        <v>13</v>
      </c>
      <c r="H457" s="3" t="n">
        <v>1999</v>
      </c>
    </row>
    <row r="458" customFormat="false" ht="15" hidden="false" customHeight="false" outlineLevel="0" collapsed="false">
      <c r="A458" s="3" t="s">
        <v>779</v>
      </c>
      <c r="B458" s="3" t="s">
        <v>780</v>
      </c>
      <c r="C458" s="3" t="s">
        <v>45</v>
      </c>
      <c r="D458" s="3" t="s">
        <v>12</v>
      </c>
      <c r="E458" s="3" t="s">
        <v>56</v>
      </c>
      <c r="F458" s="3" t="s">
        <v>42</v>
      </c>
      <c r="G458" s="3" t="n">
        <v>8</v>
      </c>
      <c r="H458" s="3" t="n">
        <v>499</v>
      </c>
    </row>
    <row r="459" customFormat="false" ht="15" hidden="false" customHeight="false" outlineLevel="0" collapsed="false">
      <c r="A459" s="3" t="s">
        <v>781</v>
      </c>
      <c r="B459" s="3" t="s">
        <v>631</v>
      </c>
      <c r="C459" s="3" t="s">
        <v>31</v>
      </c>
      <c r="D459" s="3" t="s">
        <v>32</v>
      </c>
      <c r="E459" s="3" t="s">
        <v>41</v>
      </c>
      <c r="F459" s="3" t="s">
        <v>42</v>
      </c>
      <c r="G459" s="3" t="n">
        <v>8</v>
      </c>
      <c r="H459" s="3" t="n">
        <v>1499</v>
      </c>
    </row>
    <row r="460" customFormat="false" ht="15" hidden="false" customHeight="false" outlineLevel="0" collapsed="false">
      <c r="A460" s="3" t="s">
        <v>782</v>
      </c>
      <c r="B460" s="3" t="s">
        <v>199</v>
      </c>
      <c r="C460" s="3" t="s">
        <v>27</v>
      </c>
      <c r="D460" s="3" t="s">
        <v>22</v>
      </c>
      <c r="E460" s="3" t="s">
        <v>13</v>
      </c>
      <c r="F460" s="3" t="s">
        <v>28</v>
      </c>
      <c r="G460" s="3" t="n">
        <v>3</v>
      </c>
      <c r="H460" s="3" t="n">
        <v>899</v>
      </c>
    </row>
    <row r="461" customFormat="false" ht="15" hidden="false" customHeight="false" outlineLevel="0" collapsed="false">
      <c r="A461" s="3" t="s">
        <v>783</v>
      </c>
      <c r="B461" s="3" t="s">
        <v>34</v>
      </c>
      <c r="C461" s="3" t="s">
        <v>105</v>
      </c>
      <c r="D461" s="3" t="s">
        <v>32</v>
      </c>
      <c r="E461" s="3" t="s">
        <v>41</v>
      </c>
      <c r="F461" s="3" t="s">
        <v>35</v>
      </c>
      <c r="G461" s="3" t="n">
        <v>12</v>
      </c>
      <c r="H461" s="3" t="n">
        <v>1799</v>
      </c>
    </row>
    <row r="462" customFormat="false" ht="15" hidden="false" customHeight="false" outlineLevel="0" collapsed="false">
      <c r="A462" s="3" t="s">
        <v>784</v>
      </c>
      <c r="B462" s="3" t="s">
        <v>166</v>
      </c>
      <c r="C462" s="3" t="s">
        <v>31</v>
      </c>
      <c r="D462" s="3" t="s">
        <v>32</v>
      </c>
      <c r="E462" s="3" t="s">
        <v>13</v>
      </c>
      <c r="F462" s="3" t="s">
        <v>24</v>
      </c>
      <c r="G462" s="3" t="n">
        <v>2</v>
      </c>
      <c r="H462" s="4"/>
    </row>
    <row r="463" customFormat="false" ht="15" hidden="false" customHeight="false" outlineLevel="0" collapsed="false">
      <c r="A463" s="3" t="s">
        <v>785</v>
      </c>
      <c r="B463" s="3" t="s">
        <v>607</v>
      </c>
      <c r="C463" s="3" t="s">
        <v>55</v>
      </c>
      <c r="D463" s="3" t="s">
        <v>12</v>
      </c>
      <c r="E463" s="3" t="s">
        <v>13</v>
      </c>
      <c r="F463" s="3" t="s">
        <v>42</v>
      </c>
      <c r="G463" s="3" t="n">
        <v>2</v>
      </c>
      <c r="H463" s="3" t="n">
        <v>299</v>
      </c>
    </row>
    <row r="464" customFormat="false" ht="15" hidden="false" customHeight="false" outlineLevel="0" collapsed="false">
      <c r="A464" s="3" t="s">
        <v>786</v>
      </c>
      <c r="B464" s="3" t="s">
        <v>787</v>
      </c>
      <c r="C464" s="3" t="s">
        <v>27</v>
      </c>
      <c r="D464" s="3" t="s">
        <v>22</v>
      </c>
      <c r="E464" s="3" t="s">
        <v>41</v>
      </c>
      <c r="F464" s="3" t="s">
        <v>35</v>
      </c>
      <c r="G464" s="3" t="n">
        <v>2</v>
      </c>
      <c r="H464" s="3" t="n">
        <v>899</v>
      </c>
    </row>
    <row r="465" customFormat="false" ht="15" hidden="false" customHeight="false" outlineLevel="0" collapsed="false">
      <c r="A465" s="3" t="s">
        <v>788</v>
      </c>
      <c r="B465" s="3" t="s">
        <v>136</v>
      </c>
      <c r="C465" s="3" t="s">
        <v>45</v>
      </c>
      <c r="D465" s="3" t="s">
        <v>12</v>
      </c>
      <c r="E465" s="3" t="s">
        <v>13</v>
      </c>
      <c r="F465" s="3" t="s">
        <v>35</v>
      </c>
      <c r="G465" s="3" t="n">
        <v>10</v>
      </c>
      <c r="H465" s="3" t="n">
        <v>499</v>
      </c>
    </row>
    <row r="466" customFormat="false" ht="15" hidden="false" customHeight="false" outlineLevel="0" collapsed="false">
      <c r="A466" s="3" t="s">
        <v>789</v>
      </c>
      <c r="B466" s="3" t="s">
        <v>421</v>
      </c>
      <c r="C466" s="3" t="s">
        <v>93</v>
      </c>
      <c r="D466" s="3" t="s">
        <v>12</v>
      </c>
      <c r="E466" s="3" t="s">
        <v>457</v>
      </c>
      <c r="F466" s="3" t="s">
        <v>18</v>
      </c>
      <c r="G466" s="3" t="n">
        <v>12</v>
      </c>
      <c r="H466" s="3" t="n">
        <v>1299</v>
      </c>
    </row>
    <row r="467" customFormat="false" ht="15" hidden="false" customHeight="false" outlineLevel="0" collapsed="false">
      <c r="A467" s="3" t="s">
        <v>790</v>
      </c>
      <c r="B467" s="3" t="s">
        <v>715</v>
      </c>
      <c r="C467" s="3" t="s">
        <v>55</v>
      </c>
      <c r="D467" s="3" t="s">
        <v>12</v>
      </c>
      <c r="E467" s="3" t="s">
        <v>457</v>
      </c>
      <c r="F467" s="3" t="s">
        <v>28</v>
      </c>
      <c r="G467" s="3" t="n">
        <v>6</v>
      </c>
      <c r="H467" s="3" t="n">
        <v>299</v>
      </c>
    </row>
    <row r="468" customFormat="false" ht="15" hidden="false" customHeight="false" outlineLevel="0" collapsed="false">
      <c r="A468" s="3" t="s">
        <v>791</v>
      </c>
      <c r="B468" s="3" t="s">
        <v>566</v>
      </c>
      <c r="C468" s="3" t="s">
        <v>105</v>
      </c>
      <c r="D468" s="3" t="s">
        <v>32</v>
      </c>
      <c r="E468" s="3" t="s">
        <v>13</v>
      </c>
      <c r="F468" s="3" t="s">
        <v>24</v>
      </c>
      <c r="G468" s="3" t="n">
        <v>1</v>
      </c>
      <c r="H468" s="3" t="n">
        <v>1799</v>
      </c>
    </row>
    <row r="469" customFormat="false" ht="15" hidden="false" customHeight="false" outlineLevel="0" collapsed="false">
      <c r="A469" s="3" t="s">
        <v>792</v>
      </c>
      <c r="B469" s="3" t="s">
        <v>793</v>
      </c>
      <c r="C469" s="3" t="s">
        <v>75</v>
      </c>
      <c r="D469" s="3" t="s">
        <v>32</v>
      </c>
      <c r="E469" s="3" t="s">
        <v>23</v>
      </c>
      <c r="F469" s="3" t="s">
        <v>24</v>
      </c>
      <c r="G469" s="3" t="n">
        <v>8</v>
      </c>
      <c r="H469" s="3" t="n">
        <v>8999</v>
      </c>
    </row>
    <row r="470" customFormat="false" ht="15" hidden="false" customHeight="false" outlineLevel="0" collapsed="false">
      <c r="A470" s="3" t="s">
        <v>794</v>
      </c>
      <c r="B470" s="3" t="s">
        <v>544</v>
      </c>
      <c r="C470" s="3" t="s">
        <v>75</v>
      </c>
      <c r="D470" s="3" t="s">
        <v>32</v>
      </c>
      <c r="E470" s="3" t="s">
        <v>23</v>
      </c>
      <c r="F470" s="3" t="s">
        <v>35</v>
      </c>
      <c r="G470" s="3" t="n">
        <v>9</v>
      </c>
      <c r="H470" s="3" t="n">
        <v>8999</v>
      </c>
    </row>
    <row r="471" customFormat="false" ht="15" hidden="false" customHeight="false" outlineLevel="0" collapsed="false">
      <c r="A471" s="3" t="s">
        <v>795</v>
      </c>
      <c r="B471" s="3" t="s">
        <v>88</v>
      </c>
      <c r="C471" s="3" t="s">
        <v>27</v>
      </c>
      <c r="D471" s="3" t="s">
        <v>22</v>
      </c>
      <c r="E471" s="3" t="s">
        <v>13</v>
      </c>
      <c r="F471" s="3" t="s">
        <v>18</v>
      </c>
      <c r="G471" s="3" t="n">
        <v>3</v>
      </c>
      <c r="H471" s="3" t="n">
        <v>899</v>
      </c>
    </row>
    <row r="472" customFormat="false" ht="15" hidden="false" customHeight="false" outlineLevel="0" collapsed="false">
      <c r="A472" s="3" t="s">
        <v>796</v>
      </c>
      <c r="B472" s="3" t="s">
        <v>84</v>
      </c>
      <c r="C472" s="3" t="s">
        <v>93</v>
      </c>
      <c r="D472" s="3" t="s">
        <v>12</v>
      </c>
      <c r="E472" s="3" t="s">
        <v>23</v>
      </c>
      <c r="F472" s="3" t="s">
        <v>24</v>
      </c>
      <c r="G472" s="3" t="n">
        <v>11</v>
      </c>
      <c r="H472" s="3" t="n">
        <v>1299</v>
      </c>
    </row>
    <row r="473" customFormat="false" ht="15" hidden="false" customHeight="false" outlineLevel="0" collapsed="false">
      <c r="A473" s="3" t="s">
        <v>797</v>
      </c>
      <c r="B473" s="3" t="s">
        <v>473</v>
      </c>
      <c r="C473" s="3" t="s">
        <v>75</v>
      </c>
      <c r="D473" s="3" t="s">
        <v>32</v>
      </c>
      <c r="E473" s="3" t="s">
        <v>23</v>
      </c>
      <c r="F473" s="3" t="s">
        <v>18</v>
      </c>
      <c r="G473" s="3" t="n">
        <v>1</v>
      </c>
      <c r="H473" s="3" t="n">
        <v>8999</v>
      </c>
    </row>
    <row r="474" customFormat="false" ht="15" hidden="false" customHeight="false" outlineLevel="0" collapsed="false">
      <c r="A474" s="3" t="s">
        <v>798</v>
      </c>
      <c r="B474" s="3" t="s">
        <v>82</v>
      </c>
      <c r="C474" s="3" t="s">
        <v>105</v>
      </c>
      <c r="D474" s="3" t="s">
        <v>32</v>
      </c>
      <c r="E474" s="3" t="s">
        <v>56</v>
      </c>
      <c r="F474" s="3" t="s">
        <v>24</v>
      </c>
      <c r="G474" s="3" t="n">
        <v>6</v>
      </c>
      <c r="H474" s="3" t="n">
        <v>1799</v>
      </c>
    </row>
    <row r="475" customFormat="false" ht="15" hidden="false" customHeight="false" outlineLevel="0" collapsed="false">
      <c r="A475" s="3" t="s">
        <v>799</v>
      </c>
      <c r="B475" s="3" t="s">
        <v>328</v>
      </c>
      <c r="C475" s="3" t="s">
        <v>21</v>
      </c>
      <c r="D475" s="3" t="s">
        <v>22</v>
      </c>
      <c r="E475" s="3" t="s">
        <v>23</v>
      </c>
      <c r="F475" s="3" t="s">
        <v>18</v>
      </c>
      <c r="G475" s="3" t="n">
        <v>2</v>
      </c>
      <c r="H475" s="3" t="n">
        <v>699</v>
      </c>
    </row>
    <row r="476" customFormat="false" ht="15" hidden="false" customHeight="false" outlineLevel="0" collapsed="false">
      <c r="A476" s="3" t="s">
        <v>800</v>
      </c>
      <c r="B476" s="3" t="s">
        <v>801</v>
      </c>
      <c r="C476" s="3" t="s">
        <v>45</v>
      </c>
      <c r="D476" s="3" t="s">
        <v>12</v>
      </c>
      <c r="E476" s="3" t="s">
        <v>56</v>
      </c>
      <c r="F476" s="3" t="s">
        <v>24</v>
      </c>
      <c r="G476" s="3" t="n">
        <v>1</v>
      </c>
      <c r="H476" s="3" t="n">
        <v>499</v>
      </c>
    </row>
    <row r="477" customFormat="false" ht="15" hidden="false" customHeight="false" outlineLevel="0" collapsed="false">
      <c r="A477" s="3" t="s">
        <v>802</v>
      </c>
      <c r="B477" s="3" t="s">
        <v>803</v>
      </c>
      <c r="C477" s="3" t="s">
        <v>45</v>
      </c>
      <c r="D477" s="3" t="s">
        <v>12</v>
      </c>
      <c r="E477" s="3" t="s">
        <v>13</v>
      </c>
      <c r="F477" s="3" t="s">
        <v>28</v>
      </c>
      <c r="G477" s="4"/>
      <c r="H477" s="3" t="n">
        <v>499</v>
      </c>
    </row>
    <row r="478" customFormat="false" ht="15" hidden="false" customHeight="false" outlineLevel="0" collapsed="false">
      <c r="A478" s="3" t="s">
        <v>804</v>
      </c>
      <c r="B478" s="3" t="s">
        <v>372</v>
      </c>
      <c r="C478" s="3" t="s">
        <v>55</v>
      </c>
      <c r="D478" s="3" t="s">
        <v>12</v>
      </c>
      <c r="E478" s="3" t="s">
        <v>23</v>
      </c>
      <c r="F478" s="3" t="s">
        <v>24</v>
      </c>
      <c r="G478" s="3" t="n">
        <v>7</v>
      </c>
      <c r="H478" s="3" t="n">
        <v>299</v>
      </c>
    </row>
    <row r="479" customFormat="false" ht="15" hidden="false" customHeight="false" outlineLevel="0" collapsed="false">
      <c r="A479" s="3" t="s">
        <v>805</v>
      </c>
      <c r="B479" s="3" t="s">
        <v>806</v>
      </c>
      <c r="C479" s="3" t="s">
        <v>75</v>
      </c>
      <c r="D479" s="3" t="s">
        <v>32</v>
      </c>
      <c r="E479" s="3" t="s">
        <v>13</v>
      </c>
      <c r="F479" s="3" t="s">
        <v>28</v>
      </c>
      <c r="G479" s="3" t="n">
        <v>8</v>
      </c>
      <c r="H479" s="3" t="n">
        <v>8999</v>
      </c>
    </row>
    <row r="480" customFormat="false" ht="15" hidden="false" customHeight="false" outlineLevel="0" collapsed="false">
      <c r="A480" s="3" t="s">
        <v>807</v>
      </c>
      <c r="B480" s="3" t="s">
        <v>84</v>
      </c>
      <c r="C480" s="3" t="s">
        <v>55</v>
      </c>
      <c r="D480" s="3" t="s">
        <v>12</v>
      </c>
      <c r="E480" s="3" t="s">
        <v>41</v>
      </c>
      <c r="F480" s="3" t="s">
        <v>18</v>
      </c>
      <c r="G480" s="3" t="n">
        <v>14</v>
      </c>
      <c r="H480" s="3" t="n">
        <v>299</v>
      </c>
    </row>
    <row r="481" customFormat="false" ht="15" hidden="false" customHeight="false" outlineLevel="0" collapsed="false">
      <c r="A481" s="3" t="s">
        <v>808</v>
      </c>
      <c r="B481" s="3" t="s">
        <v>809</v>
      </c>
      <c r="C481" s="3" t="s">
        <v>31</v>
      </c>
      <c r="D481" s="3" t="s">
        <v>32</v>
      </c>
      <c r="E481" s="3" t="s">
        <v>41</v>
      </c>
      <c r="F481" s="3" t="s">
        <v>42</v>
      </c>
      <c r="G481" s="3" t="n">
        <v>7</v>
      </c>
      <c r="H481" s="3" t="n">
        <v>1499</v>
      </c>
    </row>
    <row r="482" customFormat="false" ht="15" hidden="false" customHeight="false" outlineLevel="0" collapsed="false">
      <c r="A482" s="3" t="s">
        <v>810</v>
      </c>
      <c r="B482" s="3" t="s">
        <v>811</v>
      </c>
      <c r="C482" s="3" t="s">
        <v>75</v>
      </c>
      <c r="D482" s="3" t="s">
        <v>32</v>
      </c>
      <c r="E482" s="3" t="s">
        <v>56</v>
      </c>
      <c r="F482" s="3" t="s">
        <v>35</v>
      </c>
      <c r="G482" s="3" t="n">
        <v>3</v>
      </c>
      <c r="H482" s="3" t="n">
        <v>8999</v>
      </c>
    </row>
    <row r="483" customFormat="false" ht="15" hidden="false" customHeight="false" outlineLevel="0" collapsed="false">
      <c r="A483" s="3" t="s">
        <v>812</v>
      </c>
      <c r="B483" s="3" t="s">
        <v>813</v>
      </c>
      <c r="C483" s="3" t="s">
        <v>93</v>
      </c>
      <c r="D483" s="3" t="s">
        <v>12</v>
      </c>
      <c r="E483" s="3" t="s">
        <v>56</v>
      </c>
      <c r="F483" s="3" t="s">
        <v>18</v>
      </c>
      <c r="G483" s="3" t="n">
        <v>11</v>
      </c>
      <c r="H483" s="4"/>
    </row>
    <row r="484" customFormat="false" ht="15" hidden="false" customHeight="false" outlineLevel="0" collapsed="false">
      <c r="A484" s="3" t="s">
        <v>814</v>
      </c>
      <c r="B484" s="3" t="s">
        <v>176</v>
      </c>
      <c r="C484" s="3" t="s">
        <v>105</v>
      </c>
      <c r="D484" s="3" t="s">
        <v>32</v>
      </c>
      <c r="E484" s="3" t="s">
        <v>41</v>
      </c>
      <c r="F484" s="3" t="s">
        <v>24</v>
      </c>
      <c r="G484" s="3" t="n">
        <v>3</v>
      </c>
      <c r="H484" s="3" t="n">
        <v>1799</v>
      </c>
    </row>
    <row r="485" customFormat="false" ht="15" hidden="false" customHeight="false" outlineLevel="0" collapsed="false">
      <c r="A485" s="3" t="s">
        <v>815</v>
      </c>
      <c r="B485" s="3" t="s">
        <v>92</v>
      </c>
      <c r="C485" s="3" t="s">
        <v>105</v>
      </c>
      <c r="D485" s="3" t="s">
        <v>32</v>
      </c>
      <c r="E485" s="3" t="s">
        <v>56</v>
      </c>
      <c r="F485" s="3" t="s">
        <v>24</v>
      </c>
      <c r="G485" s="3" t="n">
        <v>7</v>
      </c>
      <c r="H485" s="3" t="n">
        <v>1799</v>
      </c>
    </row>
    <row r="486" customFormat="false" ht="15" hidden="false" customHeight="false" outlineLevel="0" collapsed="false">
      <c r="A486" s="3" t="s">
        <v>816</v>
      </c>
      <c r="B486" s="3" t="s">
        <v>40</v>
      </c>
      <c r="C486" s="3" t="s">
        <v>21</v>
      </c>
      <c r="D486" s="3" t="s">
        <v>22</v>
      </c>
      <c r="E486" s="3" t="s">
        <v>13</v>
      </c>
      <c r="F486" s="3" t="s">
        <v>42</v>
      </c>
      <c r="G486" s="3" t="n">
        <v>2</v>
      </c>
      <c r="H486" s="3" t="n">
        <v>699</v>
      </c>
    </row>
    <row r="487" customFormat="false" ht="15" hidden="false" customHeight="false" outlineLevel="0" collapsed="false">
      <c r="A487" s="3" t="s">
        <v>817</v>
      </c>
      <c r="B487" s="3" t="s">
        <v>154</v>
      </c>
      <c r="C487" s="3" t="s">
        <v>31</v>
      </c>
      <c r="D487" s="3" t="s">
        <v>32</v>
      </c>
      <c r="E487" s="3" t="s">
        <v>56</v>
      </c>
      <c r="F487" s="3" t="s">
        <v>18</v>
      </c>
      <c r="G487" s="3" t="n">
        <v>-6</v>
      </c>
      <c r="H487" s="3" t="n">
        <v>1499</v>
      </c>
    </row>
    <row r="488" customFormat="false" ht="15" hidden="false" customHeight="false" outlineLevel="0" collapsed="false">
      <c r="A488" s="3" t="s">
        <v>818</v>
      </c>
      <c r="B488" s="3" t="s">
        <v>376</v>
      </c>
      <c r="C488" s="3" t="s">
        <v>55</v>
      </c>
      <c r="D488" s="3" t="s">
        <v>12</v>
      </c>
      <c r="E488" s="3" t="s">
        <v>13</v>
      </c>
      <c r="F488" s="3" t="s">
        <v>35</v>
      </c>
      <c r="G488" s="3" t="n">
        <v>4</v>
      </c>
      <c r="H488" s="3" t="n">
        <v>299</v>
      </c>
    </row>
    <row r="489" customFormat="false" ht="15" hidden="false" customHeight="false" outlineLevel="0" collapsed="false">
      <c r="A489" s="3" t="s">
        <v>819</v>
      </c>
      <c r="B489" s="3" t="s">
        <v>820</v>
      </c>
      <c r="C489" s="3" t="s">
        <v>38</v>
      </c>
      <c r="D489" s="3" t="s">
        <v>32</v>
      </c>
      <c r="E489" s="3" t="s">
        <v>41</v>
      </c>
      <c r="F489" s="3" t="s">
        <v>24</v>
      </c>
      <c r="G489" s="4"/>
      <c r="H489" s="3" t="n">
        <v>1999</v>
      </c>
    </row>
    <row r="490" customFormat="false" ht="15" hidden="false" customHeight="false" outlineLevel="0" collapsed="false">
      <c r="A490" s="3" t="s">
        <v>821</v>
      </c>
      <c r="B490" s="3" t="s">
        <v>204</v>
      </c>
      <c r="C490" s="3" t="s">
        <v>45</v>
      </c>
      <c r="D490" s="3" t="s">
        <v>12</v>
      </c>
      <c r="E490" s="3" t="s">
        <v>41</v>
      </c>
      <c r="F490" s="3" t="s">
        <v>35</v>
      </c>
      <c r="G490" s="3" t="n">
        <v>7</v>
      </c>
      <c r="H490" s="4"/>
    </row>
    <row r="491" customFormat="false" ht="15" hidden="false" customHeight="false" outlineLevel="0" collapsed="false">
      <c r="A491" s="3" t="s">
        <v>822</v>
      </c>
      <c r="B491" s="3" t="s">
        <v>823</v>
      </c>
      <c r="C491" s="3" t="s">
        <v>16</v>
      </c>
      <c r="D491" s="3" t="s">
        <v>12</v>
      </c>
      <c r="E491" s="3" t="s">
        <v>23</v>
      </c>
      <c r="F491" s="3" t="s">
        <v>28</v>
      </c>
      <c r="G491" s="4"/>
      <c r="H491" s="3" t="n">
        <v>2499</v>
      </c>
    </row>
    <row r="492" customFormat="false" ht="15" hidden="false" customHeight="false" outlineLevel="0" collapsed="false">
      <c r="A492" s="3" t="s">
        <v>824</v>
      </c>
      <c r="B492" s="3" t="s">
        <v>336</v>
      </c>
      <c r="C492" s="3" t="s">
        <v>16</v>
      </c>
      <c r="D492" s="3" t="s">
        <v>12</v>
      </c>
      <c r="E492" s="3" t="s">
        <v>41</v>
      </c>
      <c r="F492" s="3" t="s">
        <v>18</v>
      </c>
      <c r="G492" s="3" t="n">
        <v>5</v>
      </c>
      <c r="H492" s="3" t="n">
        <v>2499</v>
      </c>
    </row>
    <row r="493" customFormat="false" ht="15" hidden="false" customHeight="false" outlineLevel="0" collapsed="false">
      <c r="A493" s="3" t="s">
        <v>825</v>
      </c>
      <c r="B493" s="3" t="s">
        <v>95</v>
      </c>
      <c r="C493" s="3" t="s">
        <v>105</v>
      </c>
      <c r="D493" s="3" t="s">
        <v>32</v>
      </c>
      <c r="E493" s="3" t="s">
        <v>56</v>
      </c>
      <c r="F493" s="3" t="s">
        <v>28</v>
      </c>
      <c r="G493" s="3" t="n">
        <v>12</v>
      </c>
      <c r="H493" s="3" t="n">
        <v>1799</v>
      </c>
    </row>
    <row r="494" customFormat="false" ht="15" hidden="false" customHeight="false" outlineLevel="0" collapsed="false">
      <c r="A494" s="3" t="s">
        <v>826</v>
      </c>
      <c r="B494" s="3" t="s">
        <v>618</v>
      </c>
      <c r="C494" s="3" t="s">
        <v>27</v>
      </c>
      <c r="D494" s="3" t="s">
        <v>22</v>
      </c>
      <c r="E494" s="3" t="s">
        <v>13</v>
      </c>
      <c r="F494" s="3" t="s">
        <v>42</v>
      </c>
      <c r="G494" s="3" t="n">
        <v>4</v>
      </c>
      <c r="H494" s="3" t="n">
        <v>899</v>
      </c>
    </row>
    <row r="495" customFormat="false" ht="15" hidden="false" customHeight="false" outlineLevel="0" collapsed="false">
      <c r="A495" s="3" t="s">
        <v>827</v>
      </c>
      <c r="B495" s="3" t="s">
        <v>74</v>
      </c>
      <c r="C495" s="3" t="s">
        <v>21</v>
      </c>
      <c r="D495" s="3" t="s">
        <v>22</v>
      </c>
      <c r="E495" s="3" t="s">
        <v>13</v>
      </c>
      <c r="F495" s="3" t="s">
        <v>28</v>
      </c>
      <c r="G495" s="3" t="n">
        <v>9</v>
      </c>
      <c r="H495" s="3" t="n">
        <v>699</v>
      </c>
    </row>
    <row r="496" customFormat="false" ht="15" hidden="false" customHeight="false" outlineLevel="0" collapsed="false">
      <c r="A496" s="3" t="s">
        <v>828</v>
      </c>
      <c r="B496" s="3" t="s">
        <v>829</v>
      </c>
      <c r="C496" s="3" t="s">
        <v>31</v>
      </c>
      <c r="D496" s="3" t="s">
        <v>32</v>
      </c>
      <c r="E496" s="3" t="s">
        <v>23</v>
      </c>
      <c r="F496" s="3" t="s">
        <v>18</v>
      </c>
      <c r="G496" s="3" t="n">
        <v>8</v>
      </c>
      <c r="H496" s="3" t="n">
        <v>1499</v>
      </c>
    </row>
    <row r="497" customFormat="false" ht="15" hidden="false" customHeight="false" outlineLevel="0" collapsed="false">
      <c r="A497" s="3" t="s">
        <v>830</v>
      </c>
      <c r="B497" s="3" t="s">
        <v>713</v>
      </c>
      <c r="C497" s="3" t="s">
        <v>16</v>
      </c>
      <c r="D497" s="3" t="s">
        <v>12</v>
      </c>
      <c r="E497" s="3" t="s">
        <v>56</v>
      </c>
      <c r="F497" s="3" t="s">
        <v>35</v>
      </c>
      <c r="G497" s="3" t="n">
        <v>6</v>
      </c>
      <c r="H497" s="3" t="n">
        <v>2499</v>
      </c>
    </row>
    <row r="498" customFormat="false" ht="15" hidden="false" customHeight="false" outlineLevel="0" collapsed="false">
      <c r="A498" s="3" t="s">
        <v>831</v>
      </c>
      <c r="B498" s="3" t="s">
        <v>100</v>
      </c>
      <c r="C498" s="3" t="s">
        <v>75</v>
      </c>
      <c r="D498" s="3" t="s">
        <v>32</v>
      </c>
      <c r="E498" s="3" t="s">
        <v>56</v>
      </c>
      <c r="F498" s="3" t="s">
        <v>35</v>
      </c>
      <c r="G498" s="3" t="n">
        <v>11</v>
      </c>
      <c r="H498" s="3" t="n">
        <v>8999</v>
      </c>
    </row>
    <row r="499" customFormat="false" ht="15" hidden="false" customHeight="false" outlineLevel="0" collapsed="false">
      <c r="A499" s="3" t="s">
        <v>832</v>
      </c>
      <c r="B499" s="3" t="s">
        <v>237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n">
        <v>10</v>
      </c>
      <c r="H499" s="3" t="n">
        <v>699</v>
      </c>
    </row>
    <row r="500" customFormat="false" ht="15" hidden="false" customHeight="false" outlineLevel="0" collapsed="false">
      <c r="A500" s="3" t="s">
        <v>833</v>
      </c>
      <c r="B500" s="3" t="s">
        <v>834</v>
      </c>
      <c r="C500" s="3" t="s">
        <v>75</v>
      </c>
      <c r="D500" s="3" t="s">
        <v>32</v>
      </c>
      <c r="E500" s="3" t="s">
        <v>13</v>
      </c>
      <c r="F500" s="3" t="s">
        <v>35</v>
      </c>
      <c r="G500" s="3" t="n">
        <v>13</v>
      </c>
      <c r="H500" s="3" t="n">
        <v>8999</v>
      </c>
    </row>
    <row r="501" customFormat="false" ht="15" hidden="false" customHeight="false" outlineLevel="0" collapsed="false">
      <c r="A501" s="3" t="s">
        <v>835</v>
      </c>
      <c r="B501" s="3" t="s">
        <v>836</v>
      </c>
      <c r="C501" s="3" t="s">
        <v>38</v>
      </c>
      <c r="D501" s="3" t="s">
        <v>32</v>
      </c>
      <c r="E501" s="3" t="s">
        <v>23</v>
      </c>
      <c r="F501" s="3" t="s">
        <v>35</v>
      </c>
      <c r="G501" s="3" t="n">
        <v>2</v>
      </c>
      <c r="H501" s="3" t="n">
        <v>1999</v>
      </c>
    </row>
    <row r="502" customFormat="false" ht="15" hidden="false" customHeight="false" outlineLevel="0" collapsed="false">
      <c r="A502" s="3" t="s">
        <v>837</v>
      </c>
      <c r="B502" s="3" t="s">
        <v>62</v>
      </c>
      <c r="C502" s="3" t="s">
        <v>93</v>
      </c>
      <c r="D502" s="3" t="s">
        <v>12</v>
      </c>
      <c r="E502" s="3" t="s">
        <v>23</v>
      </c>
      <c r="F502" s="3" t="s">
        <v>24</v>
      </c>
      <c r="G502" s="3" t="n">
        <v>11</v>
      </c>
      <c r="H502" s="3" t="n">
        <v>1299</v>
      </c>
    </row>
    <row r="503" customFormat="false" ht="15" hidden="false" customHeight="false" outlineLevel="0" collapsed="false">
      <c r="A503" s="3" t="s">
        <v>838</v>
      </c>
      <c r="B503" s="3" t="s">
        <v>658</v>
      </c>
      <c r="C503" s="3" t="s">
        <v>27</v>
      </c>
      <c r="D503" s="3" t="s">
        <v>22</v>
      </c>
      <c r="E503" s="3" t="s">
        <v>23</v>
      </c>
      <c r="F503" s="3" t="s">
        <v>24</v>
      </c>
      <c r="G503" s="3" t="n">
        <v>12</v>
      </c>
      <c r="H503" s="3" t="n">
        <v>899</v>
      </c>
    </row>
    <row r="504" customFormat="false" ht="15" hidden="false" customHeight="false" outlineLevel="0" collapsed="false">
      <c r="A504" s="3" t="s">
        <v>839</v>
      </c>
      <c r="B504" s="3" t="s">
        <v>195</v>
      </c>
      <c r="C504" s="3" t="s">
        <v>55</v>
      </c>
      <c r="D504" s="3" t="s">
        <v>12</v>
      </c>
      <c r="E504" s="3" t="s">
        <v>41</v>
      </c>
      <c r="F504" s="3" t="s">
        <v>42</v>
      </c>
      <c r="G504" s="3" t="n">
        <v>10</v>
      </c>
      <c r="H504" s="3" t="n">
        <v>299</v>
      </c>
    </row>
    <row r="505" customFormat="false" ht="15" hidden="false" customHeight="false" outlineLevel="0" collapsed="false">
      <c r="A505" s="3" t="s">
        <v>840</v>
      </c>
      <c r="B505" s="3" t="s">
        <v>699</v>
      </c>
      <c r="C505" s="3" t="s">
        <v>93</v>
      </c>
      <c r="D505" s="3" t="s">
        <v>12</v>
      </c>
      <c r="E505" s="3" t="s">
        <v>13</v>
      </c>
      <c r="F505" s="3" t="s">
        <v>42</v>
      </c>
      <c r="G505" s="3" t="n">
        <v>8</v>
      </c>
      <c r="H505" s="3" t="n">
        <v>1299</v>
      </c>
    </row>
    <row r="506" customFormat="false" ht="15" hidden="false" customHeight="false" outlineLevel="0" collapsed="false">
      <c r="A506" s="3" t="s">
        <v>841</v>
      </c>
      <c r="B506" s="3" t="s">
        <v>514</v>
      </c>
      <c r="C506" s="3" t="s">
        <v>55</v>
      </c>
      <c r="D506" s="3" t="s">
        <v>12</v>
      </c>
      <c r="E506" s="3" t="s">
        <v>23</v>
      </c>
      <c r="F506" s="3" t="s">
        <v>24</v>
      </c>
      <c r="G506" s="3" t="n">
        <v>6</v>
      </c>
      <c r="H506" s="3" t="n">
        <v>299</v>
      </c>
    </row>
    <row r="507" customFormat="false" ht="15" hidden="false" customHeight="false" outlineLevel="0" collapsed="false">
      <c r="A507" s="3" t="s">
        <v>842</v>
      </c>
      <c r="B507" s="3" t="s">
        <v>640</v>
      </c>
      <c r="C507" s="3" t="s">
        <v>75</v>
      </c>
      <c r="D507" s="3" t="s">
        <v>32</v>
      </c>
      <c r="E507" s="3" t="s">
        <v>13</v>
      </c>
      <c r="F507" s="3" t="s">
        <v>24</v>
      </c>
      <c r="G507" s="4"/>
      <c r="H507" s="3" t="n">
        <v>8999</v>
      </c>
    </row>
    <row r="508" customFormat="false" ht="15" hidden="false" customHeight="false" outlineLevel="0" collapsed="false">
      <c r="A508" s="3" t="s">
        <v>843</v>
      </c>
      <c r="B508" s="3" t="s">
        <v>382</v>
      </c>
      <c r="C508" s="3" t="s">
        <v>38</v>
      </c>
      <c r="D508" s="3" t="s">
        <v>32</v>
      </c>
      <c r="E508" s="3" t="s">
        <v>13</v>
      </c>
      <c r="F508" s="3" t="s">
        <v>35</v>
      </c>
      <c r="G508" s="3" t="n">
        <v>1</v>
      </c>
      <c r="H508" s="3" t="n">
        <v>1999</v>
      </c>
    </row>
    <row r="509" customFormat="false" ht="15" hidden="false" customHeight="false" outlineLevel="0" collapsed="false">
      <c r="A509" s="3" t="s">
        <v>844</v>
      </c>
      <c r="B509" s="3" t="s">
        <v>624</v>
      </c>
      <c r="C509" s="3" t="s">
        <v>27</v>
      </c>
      <c r="D509" s="3" t="s">
        <v>22</v>
      </c>
      <c r="E509" s="3" t="s">
        <v>13</v>
      </c>
      <c r="F509" s="3" t="s">
        <v>42</v>
      </c>
      <c r="G509" s="3" t="n">
        <v>12</v>
      </c>
      <c r="H509" s="3" t="n">
        <v>899</v>
      </c>
    </row>
    <row r="510" customFormat="false" ht="15" hidden="false" customHeight="false" outlineLevel="0" collapsed="false">
      <c r="A510" s="3" t="s">
        <v>845</v>
      </c>
      <c r="B510" s="3" t="s">
        <v>378</v>
      </c>
      <c r="C510" s="3" t="s">
        <v>21</v>
      </c>
      <c r="D510" s="3" t="s">
        <v>22</v>
      </c>
      <c r="E510" s="3" t="s">
        <v>56</v>
      </c>
      <c r="F510" s="3" t="s">
        <v>42</v>
      </c>
      <c r="G510" s="3" t="n">
        <v>14</v>
      </c>
      <c r="H510" s="3" t="n">
        <v>699</v>
      </c>
    </row>
    <row r="511" customFormat="false" ht="15" hidden="false" customHeight="false" outlineLevel="0" collapsed="false">
      <c r="A511" s="3" t="s">
        <v>846</v>
      </c>
      <c r="B511" s="3" t="s">
        <v>733</v>
      </c>
      <c r="C511" s="3" t="s">
        <v>75</v>
      </c>
      <c r="D511" s="3" t="s">
        <v>32</v>
      </c>
      <c r="E511" s="3" t="s">
        <v>41</v>
      </c>
      <c r="F511" s="3" t="s">
        <v>42</v>
      </c>
      <c r="G511" s="3" t="n">
        <v>6</v>
      </c>
      <c r="H511" s="3" t="n">
        <v>8999</v>
      </c>
    </row>
    <row r="512" customFormat="false" ht="15" hidden="false" customHeight="false" outlineLevel="0" collapsed="false">
      <c r="A512" s="3" t="s">
        <v>847</v>
      </c>
      <c r="B512" s="3" t="s">
        <v>848</v>
      </c>
      <c r="C512" s="3" t="s">
        <v>38</v>
      </c>
      <c r="D512" s="3" t="s">
        <v>32</v>
      </c>
      <c r="E512" s="3" t="s">
        <v>23</v>
      </c>
      <c r="F512" s="3" t="s">
        <v>24</v>
      </c>
      <c r="G512" s="3" t="n">
        <v>9</v>
      </c>
      <c r="H512" s="3" t="n">
        <v>1999</v>
      </c>
    </row>
    <row r="513" customFormat="false" ht="15" hidden="false" customHeight="false" outlineLevel="0" collapsed="false">
      <c r="A513" s="3" t="s">
        <v>849</v>
      </c>
      <c r="B513" s="3" t="s">
        <v>184</v>
      </c>
      <c r="C513" s="3" t="s">
        <v>105</v>
      </c>
      <c r="D513" s="3" t="s">
        <v>32</v>
      </c>
      <c r="E513" s="3" t="s">
        <v>41</v>
      </c>
      <c r="F513" s="3" t="s">
        <v>28</v>
      </c>
      <c r="G513" s="3" t="n">
        <v>12</v>
      </c>
      <c r="H513" s="3" t="n">
        <v>1799</v>
      </c>
    </row>
    <row r="514" customFormat="false" ht="15" hidden="false" customHeight="false" outlineLevel="0" collapsed="false">
      <c r="A514" s="3" t="s">
        <v>850</v>
      </c>
      <c r="B514" s="3" t="s">
        <v>402</v>
      </c>
      <c r="C514" s="3" t="s">
        <v>55</v>
      </c>
      <c r="D514" s="3" t="s">
        <v>12</v>
      </c>
      <c r="E514" s="3" t="s">
        <v>457</v>
      </c>
      <c r="F514" s="3" t="s">
        <v>24</v>
      </c>
      <c r="G514" s="3" t="n">
        <v>4</v>
      </c>
      <c r="H514" s="3" t="n">
        <v>299</v>
      </c>
    </row>
    <row r="515" customFormat="false" ht="15" hidden="false" customHeight="false" outlineLevel="0" collapsed="false">
      <c r="A515" s="3" t="s">
        <v>851</v>
      </c>
      <c r="B515" s="3" t="s">
        <v>74</v>
      </c>
      <c r="C515" s="3" t="s">
        <v>55</v>
      </c>
      <c r="D515" s="3" t="s">
        <v>12</v>
      </c>
      <c r="E515" s="3" t="s">
        <v>41</v>
      </c>
      <c r="F515" s="3" t="s">
        <v>24</v>
      </c>
      <c r="G515" s="3" t="n">
        <v>11</v>
      </c>
      <c r="H515" s="3" t="n">
        <v>299</v>
      </c>
    </row>
    <row r="516" customFormat="false" ht="15" hidden="false" customHeight="false" outlineLevel="0" collapsed="false">
      <c r="A516" s="3" t="s">
        <v>852</v>
      </c>
      <c r="B516" s="3" t="s">
        <v>368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n">
        <v>10</v>
      </c>
      <c r="H516" s="3" t="n">
        <v>699</v>
      </c>
    </row>
    <row r="517" customFormat="false" ht="15" hidden="false" customHeight="false" outlineLevel="0" collapsed="false">
      <c r="A517" s="3" t="s">
        <v>853</v>
      </c>
      <c r="B517" s="3" t="s">
        <v>854</v>
      </c>
      <c r="C517" s="3" t="s">
        <v>21</v>
      </c>
      <c r="D517" s="3" t="s">
        <v>22</v>
      </c>
      <c r="E517" s="3" t="s">
        <v>56</v>
      </c>
      <c r="F517" s="3" t="s">
        <v>24</v>
      </c>
      <c r="G517" s="3" t="n">
        <v>2</v>
      </c>
      <c r="H517" s="3" t="n">
        <v>699</v>
      </c>
    </row>
    <row r="518" customFormat="false" ht="15" hidden="false" customHeight="false" outlineLevel="0" collapsed="false">
      <c r="A518" s="3" t="s">
        <v>855</v>
      </c>
      <c r="B518" s="3" t="s">
        <v>341</v>
      </c>
      <c r="C518" s="3" t="s">
        <v>93</v>
      </c>
      <c r="D518" s="3" t="s">
        <v>12</v>
      </c>
      <c r="E518" s="3" t="s">
        <v>41</v>
      </c>
      <c r="F518" s="3" t="s">
        <v>18</v>
      </c>
      <c r="G518" s="3" t="n">
        <v>2</v>
      </c>
      <c r="H518" s="3" t="n">
        <v>1299</v>
      </c>
    </row>
    <row r="519" customFormat="false" ht="15" hidden="false" customHeight="false" outlineLevel="0" collapsed="false">
      <c r="A519" s="3" t="s">
        <v>856</v>
      </c>
      <c r="B519" s="3" t="s">
        <v>681</v>
      </c>
      <c r="C519" s="3" t="s">
        <v>27</v>
      </c>
      <c r="D519" s="3" t="s">
        <v>22</v>
      </c>
      <c r="E519" s="3" t="s">
        <v>23</v>
      </c>
      <c r="F519" s="3" t="s">
        <v>35</v>
      </c>
      <c r="G519" s="3" t="n">
        <v>9</v>
      </c>
      <c r="H519" s="3" t="n">
        <v>899</v>
      </c>
    </row>
    <row r="520" customFormat="false" ht="15" hidden="false" customHeight="false" outlineLevel="0" collapsed="false">
      <c r="A520" s="3" t="s">
        <v>857</v>
      </c>
      <c r="B520" s="3" t="s">
        <v>535</v>
      </c>
      <c r="C520" s="3" t="s">
        <v>21</v>
      </c>
      <c r="D520" s="3" t="s">
        <v>22</v>
      </c>
      <c r="E520" s="3" t="s">
        <v>56</v>
      </c>
      <c r="F520" s="3" t="s">
        <v>42</v>
      </c>
      <c r="G520" s="3" t="n">
        <v>10</v>
      </c>
      <c r="H520" s="3" t="n">
        <v>699</v>
      </c>
    </row>
    <row r="521" customFormat="false" ht="15" hidden="false" customHeight="false" outlineLevel="0" collapsed="false">
      <c r="A521" s="3" t="s">
        <v>858</v>
      </c>
      <c r="B521" s="3" t="s">
        <v>859</v>
      </c>
      <c r="C521" s="3" t="s">
        <v>75</v>
      </c>
      <c r="D521" s="3" t="s">
        <v>32</v>
      </c>
      <c r="E521" s="3" t="s">
        <v>23</v>
      </c>
      <c r="F521" s="3" t="s">
        <v>28</v>
      </c>
      <c r="G521" s="3" t="n">
        <v>12</v>
      </c>
      <c r="H521" s="3" t="n">
        <v>8999</v>
      </c>
    </row>
    <row r="522" customFormat="false" ht="15" hidden="false" customHeight="false" outlineLevel="0" collapsed="false">
      <c r="A522" s="3" t="s">
        <v>860</v>
      </c>
      <c r="B522" s="3" t="s">
        <v>268</v>
      </c>
      <c r="C522" s="3" t="s">
        <v>16</v>
      </c>
      <c r="D522" s="3" t="s">
        <v>12</v>
      </c>
      <c r="E522" s="3" t="s">
        <v>23</v>
      </c>
      <c r="F522" s="3" t="s">
        <v>35</v>
      </c>
      <c r="G522" s="3" t="n">
        <v>3</v>
      </c>
      <c r="H522" s="3" t="n">
        <v>2499</v>
      </c>
    </row>
    <row r="523" customFormat="false" ht="15" hidden="false" customHeight="false" outlineLevel="0" collapsed="false">
      <c r="A523" s="3" t="s">
        <v>861</v>
      </c>
      <c r="B523" s="3" t="s">
        <v>862</v>
      </c>
      <c r="C523" s="3" t="s">
        <v>45</v>
      </c>
      <c r="D523" s="3" t="s">
        <v>12</v>
      </c>
      <c r="E523" s="3" t="s">
        <v>23</v>
      </c>
      <c r="F523" s="3" t="s">
        <v>42</v>
      </c>
      <c r="G523" s="3" t="n">
        <v>10</v>
      </c>
      <c r="H523" s="3" t="n">
        <v>499</v>
      </c>
    </row>
    <row r="524" customFormat="false" ht="15" hidden="false" customHeight="false" outlineLevel="0" collapsed="false">
      <c r="A524" s="3" t="s">
        <v>863</v>
      </c>
      <c r="B524" s="3" t="s">
        <v>297</v>
      </c>
      <c r="C524" s="3" t="s">
        <v>105</v>
      </c>
      <c r="D524" s="3" t="s">
        <v>32</v>
      </c>
      <c r="E524" s="3" t="s">
        <v>56</v>
      </c>
      <c r="F524" s="3" t="s">
        <v>42</v>
      </c>
      <c r="G524" s="3" t="n">
        <v>14</v>
      </c>
      <c r="H524" s="3" t="n">
        <v>1799</v>
      </c>
    </row>
    <row r="525" customFormat="false" ht="15" hidden="false" customHeight="false" outlineLevel="0" collapsed="false">
      <c r="A525" s="3" t="s">
        <v>864</v>
      </c>
      <c r="B525" s="3" t="s">
        <v>865</v>
      </c>
      <c r="C525" s="3" t="s">
        <v>21</v>
      </c>
      <c r="D525" s="3" t="s">
        <v>22</v>
      </c>
      <c r="E525" s="3" t="s">
        <v>490</v>
      </c>
      <c r="F525" s="3" t="s">
        <v>18</v>
      </c>
      <c r="G525" s="3" t="n">
        <v>12</v>
      </c>
      <c r="H525" s="3" t="n">
        <v>699</v>
      </c>
    </row>
    <row r="526" customFormat="false" ht="15" hidden="false" customHeight="false" outlineLevel="0" collapsed="false">
      <c r="A526" s="3" t="s">
        <v>866</v>
      </c>
      <c r="B526" s="3" t="s">
        <v>54</v>
      </c>
      <c r="C526" s="3" t="s">
        <v>27</v>
      </c>
      <c r="D526" s="3" t="s">
        <v>22</v>
      </c>
      <c r="E526" s="3" t="s">
        <v>41</v>
      </c>
      <c r="F526" s="3" t="s">
        <v>42</v>
      </c>
      <c r="G526" s="3" t="n">
        <v>5</v>
      </c>
      <c r="H526" s="3" t="n">
        <v>899</v>
      </c>
    </row>
    <row r="527" customFormat="false" ht="15" hidden="false" customHeight="false" outlineLevel="0" collapsed="false">
      <c r="A527" s="3" t="s">
        <v>867</v>
      </c>
      <c r="B527" s="3" t="s">
        <v>104</v>
      </c>
      <c r="C527" s="3" t="s">
        <v>55</v>
      </c>
      <c r="D527" s="3" t="s">
        <v>12</v>
      </c>
      <c r="E527" s="3" t="s">
        <v>56</v>
      </c>
      <c r="F527" s="3" t="s">
        <v>42</v>
      </c>
      <c r="G527" s="3" t="n">
        <v>9</v>
      </c>
      <c r="H527" s="3" t="n">
        <v>299</v>
      </c>
    </row>
    <row r="528" customFormat="false" ht="15" hidden="false" customHeight="false" outlineLevel="0" collapsed="false">
      <c r="A528" s="3" t="s">
        <v>868</v>
      </c>
      <c r="B528" s="3" t="s">
        <v>186</v>
      </c>
      <c r="C528" s="3" t="s">
        <v>93</v>
      </c>
      <c r="D528" s="3" t="s">
        <v>12</v>
      </c>
      <c r="E528" s="3" t="s">
        <v>13</v>
      </c>
      <c r="F528" s="3" t="s">
        <v>42</v>
      </c>
      <c r="G528" s="3" t="n">
        <v>6</v>
      </c>
      <c r="H528" s="3" t="n">
        <v>1299</v>
      </c>
    </row>
    <row r="529" customFormat="false" ht="15" hidden="false" customHeight="false" outlineLevel="0" collapsed="false">
      <c r="A529" s="3" t="s">
        <v>869</v>
      </c>
      <c r="B529" s="3" t="s">
        <v>870</v>
      </c>
      <c r="C529" s="3" t="s">
        <v>16</v>
      </c>
      <c r="D529" s="3" t="s">
        <v>12</v>
      </c>
      <c r="E529" s="3" t="s">
        <v>56</v>
      </c>
      <c r="F529" s="3" t="s">
        <v>42</v>
      </c>
      <c r="G529" s="3" t="n">
        <v>11</v>
      </c>
      <c r="H529" s="3" t="n">
        <v>2499</v>
      </c>
    </row>
    <row r="530" customFormat="false" ht="15" hidden="false" customHeight="false" outlineLevel="0" collapsed="false">
      <c r="A530" s="3" t="s">
        <v>871</v>
      </c>
      <c r="B530" s="3" t="s">
        <v>872</v>
      </c>
      <c r="C530" s="3" t="s">
        <v>45</v>
      </c>
      <c r="D530" s="3" t="s">
        <v>12</v>
      </c>
      <c r="E530" s="3" t="s">
        <v>41</v>
      </c>
      <c r="F530" s="3" t="s">
        <v>35</v>
      </c>
      <c r="G530" s="3" t="n">
        <v>-3</v>
      </c>
      <c r="H530" s="3" t="n">
        <v>499</v>
      </c>
    </row>
    <row r="531" customFormat="false" ht="15" hidden="false" customHeight="false" outlineLevel="0" collapsed="false">
      <c r="A531" s="3" t="s">
        <v>873</v>
      </c>
      <c r="B531" s="3" t="s">
        <v>60</v>
      </c>
      <c r="C531" s="3" t="s">
        <v>31</v>
      </c>
      <c r="D531" s="3" t="s">
        <v>32</v>
      </c>
      <c r="E531" s="3" t="s">
        <v>23</v>
      </c>
      <c r="F531" s="3" t="s">
        <v>18</v>
      </c>
      <c r="G531" s="3" t="n">
        <v>10</v>
      </c>
      <c r="H531" s="3" t="n">
        <v>1499</v>
      </c>
    </row>
    <row r="532" customFormat="false" ht="15" hidden="false" customHeight="false" outlineLevel="0" collapsed="false">
      <c r="A532" s="3" t="s">
        <v>874</v>
      </c>
      <c r="B532" s="3" t="s">
        <v>278</v>
      </c>
      <c r="C532" s="3" t="s">
        <v>45</v>
      </c>
      <c r="D532" s="3" t="s">
        <v>12</v>
      </c>
      <c r="E532" s="3" t="s">
        <v>23</v>
      </c>
      <c r="F532" s="3" t="s">
        <v>42</v>
      </c>
      <c r="G532" s="3" t="n">
        <v>3</v>
      </c>
      <c r="H532" s="3" t="n">
        <v>499</v>
      </c>
    </row>
    <row r="533" customFormat="false" ht="15" hidden="false" customHeight="false" outlineLevel="0" collapsed="false">
      <c r="A533" s="3" t="s">
        <v>875</v>
      </c>
      <c r="B533" s="3" t="s">
        <v>47</v>
      </c>
      <c r="C533" s="3" t="s">
        <v>38</v>
      </c>
      <c r="D533" s="3" t="s">
        <v>32</v>
      </c>
      <c r="E533" s="3" t="s">
        <v>41</v>
      </c>
      <c r="F533" s="3" t="s">
        <v>28</v>
      </c>
      <c r="G533" s="3" t="n">
        <v>11</v>
      </c>
      <c r="H533" s="3" t="n">
        <v>1999</v>
      </c>
    </row>
    <row r="534" customFormat="false" ht="15" hidden="false" customHeight="false" outlineLevel="0" collapsed="false">
      <c r="A534" s="3" t="s">
        <v>876</v>
      </c>
      <c r="B534" s="3" t="s">
        <v>754</v>
      </c>
      <c r="C534" s="3" t="s">
        <v>45</v>
      </c>
      <c r="D534" s="3" t="s">
        <v>12</v>
      </c>
      <c r="E534" s="3" t="s">
        <v>41</v>
      </c>
      <c r="F534" s="3" t="s">
        <v>28</v>
      </c>
      <c r="G534" s="3" t="n">
        <v>11</v>
      </c>
      <c r="H534" s="3" t="n">
        <v>499</v>
      </c>
    </row>
    <row r="535" customFormat="false" ht="15" hidden="false" customHeight="false" outlineLevel="0" collapsed="false">
      <c r="A535" s="3" t="s">
        <v>877</v>
      </c>
      <c r="B535" s="3" t="s">
        <v>697</v>
      </c>
      <c r="C535" s="3" t="s">
        <v>31</v>
      </c>
      <c r="D535" s="3" t="s">
        <v>32</v>
      </c>
      <c r="E535" s="3" t="s">
        <v>13</v>
      </c>
      <c r="F535" s="3" t="s">
        <v>42</v>
      </c>
      <c r="G535" s="3" t="n">
        <v>7</v>
      </c>
      <c r="H535" s="3" t="n">
        <v>1499</v>
      </c>
    </row>
    <row r="536" customFormat="false" ht="15" hidden="false" customHeight="false" outlineLevel="0" collapsed="false">
      <c r="A536" s="3" t="s">
        <v>878</v>
      </c>
      <c r="B536" s="3" t="s">
        <v>235</v>
      </c>
      <c r="C536" s="3" t="s">
        <v>45</v>
      </c>
      <c r="D536" s="3" t="s">
        <v>12</v>
      </c>
      <c r="E536" s="3" t="s">
        <v>56</v>
      </c>
      <c r="F536" s="3" t="s">
        <v>35</v>
      </c>
      <c r="G536" s="3" t="n">
        <v>8</v>
      </c>
      <c r="H536" s="3" t="n">
        <v>499</v>
      </c>
    </row>
    <row r="537" customFormat="false" ht="15" hidden="false" customHeight="false" outlineLevel="0" collapsed="false">
      <c r="A537" s="3" t="s">
        <v>879</v>
      </c>
      <c r="B537" s="3" t="s">
        <v>407</v>
      </c>
      <c r="C537" s="3" t="s">
        <v>45</v>
      </c>
      <c r="D537" s="3" t="s">
        <v>12</v>
      </c>
      <c r="E537" s="3" t="s">
        <v>56</v>
      </c>
      <c r="F537" s="3" t="s">
        <v>35</v>
      </c>
      <c r="G537" s="3" t="n">
        <v>1</v>
      </c>
      <c r="H537" s="3" t="n">
        <v>499</v>
      </c>
    </row>
    <row r="538" customFormat="false" ht="15" hidden="false" customHeight="false" outlineLevel="0" collapsed="false">
      <c r="A538" s="3" t="s">
        <v>880</v>
      </c>
      <c r="B538" s="3" t="s">
        <v>607</v>
      </c>
      <c r="C538" s="3" t="s">
        <v>45</v>
      </c>
      <c r="D538" s="3" t="s">
        <v>12</v>
      </c>
      <c r="E538" s="3" t="s">
        <v>41</v>
      </c>
      <c r="F538" s="3" t="s">
        <v>28</v>
      </c>
      <c r="G538" s="3" t="n">
        <v>2</v>
      </c>
      <c r="H538" s="3" t="n">
        <v>499</v>
      </c>
    </row>
    <row r="539" customFormat="false" ht="15" hidden="false" customHeight="false" outlineLevel="0" collapsed="false">
      <c r="A539" s="3" t="s">
        <v>881</v>
      </c>
      <c r="B539" s="3" t="s">
        <v>751</v>
      </c>
      <c r="C539" s="3" t="s">
        <v>55</v>
      </c>
      <c r="D539" s="3" t="s">
        <v>12</v>
      </c>
      <c r="E539" s="3" t="s">
        <v>13</v>
      </c>
      <c r="F539" s="3" t="s">
        <v>28</v>
      </c>
      <c r="G539" s="3" t="n">
        <v>8</v>
      </c>
      <c r="H539" s="3" t="n">
        <v>299</v>
      </c>
    </row>
    <row r="540" customFormat="false" ht="15" hidden="false" customHeight="false" outlineLevel="0" collapsed="false">
      <c r="A540" s="3" t="s">
        <v>882</v>
      </c>
      <c r="B540" s="3" t="s">
        <v>44</v>
      </c>
      <c r="C540" s="3" t="s">
        <v>883</v>
      </c>
      <c r="D540" s="3" t="s">
        <v>32</v>
      </c>
      <c r="E540" s="3" t="s">
        <v>520</v>
      </c>
      <c r="F540" s="3" t="s">
        <v>28</v>
      </c>
      <c r="G540" s="3" t="n">
        <v>14</v>
      </c>
      <c r="H540" s="3" t="n">
        <v>1499</v>
      </c>
    </row>
    <row r="541" customFormat="false" ht="15" hidden="false" customHeight="false" outlineLevel="0" collapsed="false">
      <c r="A541" s="3" t="s">
        <v>884</v>
      </c>
      <c r="B541" s="3" t="s">
        <v>410</v>
      </c>
      <c r="C541" s="3" t="s">
        <v>27</v>
      </c>
      <c r="D541" s="3" t="s">
        <v>22</v>
      </c>
      <c r="E541" s="3" t="s">
        <v>13</v>
      </c>
      <c r="F541" s="3" t="s">
        <v>42</v>
      </c>
      <c r="G541" s="3" t="n">
        <v>5</v>
      </c>
      <c r="H541" s="3" t="n">
        <v>899</v>
      </c>
    </row>
    <row r="542" customFormat="false" ht="15" hidden="false" customHeight="false" outlineLevel="0" collapsed="false">
      <c r="A542" s="3" t="s">
        <v>885</v>
      </c>
      <c r="B542" s="3" t="s">
        <v>886</v>
      </c>
      <c r="C542" s="3" t="s">
        <v>38</v>
      </c>
      <c r="D542" s="3" t="s">
        <v>32</v>
      </c>
      <c r="E542" s="3" t="s">
        <v>23</v>
      </c>
      <c r="F542" s="3" t="s">
        <v>28</v>
      </c>
      <c r="G542" s="3" t="n">
        <v>9</v>
      </c>
      <c r="H542" s="3" t="n">
        <v>1999</v>
      </c>
    </row>
    <row r="543" customFormat="false" ht="15" hidden="false" customHeight="false" outlineLevel="0" collapsed="false">
      <c r="A543" s="3" t="s">
        <v>887</v>
      </c>
      <c r="B543" s="3" t="s">
        <v>554</v>
      </c>
      <c r="C543" s="3" t="s">
        <v>564</v>
      </c>
      <c r="D543" s="3" t="s">
        <v>12</v>
      </c>
      <c r="E543" s="3" t="s">
        <v>13</v>
      </c>
      <c r="F543" s="3" t="s">
        <v>35</v>
      </c>
      <c r="G543" s="3" t="n">
        <v>6</v>
      </c>
      <c r="H543" s="3" t="n">
        <v>499</v>
      </c>
    </row>
    <row r="544" customFormat="false" ht="15" hidden="false" customHeight="false" outlineLevel="0" collapsed="false">
      <c r="A544" s="3" t="s">
        <v>888</v>
      </c>
      <c r="B544" s="3" t="s">
        <v>407</v>
      </c>
      <c r="C544" s="3" t="s">
        <v>45</v>
      </c>
      <c r="D544" s="3" t="s">
        <v>12</v>
      </c>
      <c r="E544" s="3" t="s">
        <v>23</v>
      </c>
      <c r="F544" s="3" t="s">
        <v>42</v>
      </c>
      <c r="G544" s="3" t="n">
        <v>8</v>
      </c>
      <c r="H544" s="3" t="n">
        <v>499</v>
      </c>
    </row>
    <row r="545" customFormat="false" ht="15" hidden="false" customHeight="false" outlineLevel="0" collapsed="false">
      <c r="A545" s="3" t="s">
        <v>889</v>
      </c>
      <c r="B545" s="3" t="s">
        <v>890</v>
      </c>
      <c r="C545" s="3" t="s">
        <v>27</v>
      </c>
      <c r="D545" s="3" t="s">
        <v>22</v>
      </c>
      <c r="E545" s="3" t="s">
        <v>13</v>
      </c>
      <c r="F545" s="3" t="s">
        <v>18</v>
      </c>
      <c r="G545" s="3" t="n">
        <v>2</v>
      </c>
      <c r="H545" s="3" t="n">
        <v>899</v>
      </c>
    </row>
    <row r="546" customFormat="false" ht="15" hidden="false" customHeight="false" outlineLevel="0" collapsed="false">
      <c r="A546" s="3" t="s">
        <v>891</v>
      </c>
      <c r="B546" s="3" t="s">
        <v>892</v>
      </c>
      <c r="C546" s="3" t="s">
        <v>45</v>
      </c>
      <c r="D546" s="3" t="s">
        <v>12</v>
      </c>
      <c r="E546" s="3" t="s">
        <v>23</v>
      </c>
      <c r="F546" s="3" t="s">
        <v>18</v>
      </c>
      <c r="G546" s="3" t="n">
        <v>8</v>
      </c>
      <c r="H546" s="3" t="n">
        <v>499</v>
      </c>
    </row>
    <row r="547" customFormat="false" ht="15" hidden="false" customHeight="false" outlineLevel="0" collapsed="false">
      <c r="A547" s="3" t="s">
        <v>893</v>
      </c>
      <c r="B547" s="3" t="s">
        <v>504</v>
      </c>
      <c r="C547" s="3" t="s">
        <v>45</v>
      </c>
      <c r="D547" s="3" t="s">
        <v>12</v>
      </c>
      <c r="E547" s="3" t="s">
        <v>23</v>
      </c>
      <c r="F547" s="3" t="s">
        <v>35</v>
      </c>
      <c r="G547" s="3" t="n">
        <v>12</v>
      </c>
      <c r="H547" s="3" t="n">
        <v>499</v>
      </c>
    </row>
    <row r="548" customFormat="false" ht="15" hidden="false" customHeight="false" outlineLevel="0" collapsed="false">
      <c r="A548" s="3" t="s">
        <v>894</v>
      </c>
      <c r="B548" s="3" t="s">
        <v>780</v>
      </c>
      <c r="C548" s="3" t="s">
        <v>883</v>
      </c>
      <c r="D548" s="3" t="s">
        <v>32</v>
      </c>
      <c r="E548" s="3" t="s">
        <v>41</v>
      </c>
      <c r="F548" s="3" t="s">
        <v>24</v>
      </c>
      <c r="G548" s="3" t="n">
        <v>9</v>
      </c>
      <c r="H548" s="3" t="n">
        <v>1499</v>
      </c>
    </row>
    <row r="549" customFormat="false" ht="15" hidden="false" customHeight="false" outlineLevel="0" collapsed="false">
      <c r="A549" s="3" t="s">
        <v>895</v>
      </c>
      <c r="B549" s="3" t="s">
        <v>232</v>
      </c>
      <c r="C549" s="3" t="s">
        <v>21</v>
      </c>
      <c r="D549" s="3" t="s">
        <v>22</v>
      </c>
      <c r="E549" s="3" t="s">
        <v>23</v>
      </c>
      <c r="F549" s="3" t="s">
        <v>42</v>
      </c>
      <c r="G549" s="3" t="n">
        <v>3</v>
      </c>
      <c r="H549" s="3" t="n">
        <v>699</v>
      </c>
    </row>
    <row r="550" customFormat="false" ht="15" hidden="false" customHeight="false" outlineLevel="0" collapsed="false">
      <c r="A550" s="3" t="s">
        <v>896</v>
      </c>
      <c r="B550" s="3" t="s">
        <v>473</v>
      </c>
      <c r="C550" s="3" t="s">
        <v>55</v>
      </c>
      <c r="D550" s="3" t="s">
        <v>12</v>
      </c>
      <c r="E550" s="3" t="s">
        <v>41</v>
      </c>
      <c r="F550" s="3" t="s">
        <v>35</v>
      </c>
      <c r="G550" s="3" t="n">
        <v>3</v>
      </c>
      <c r="H550" s="3" t="n">
        <v>299</v>
      </c>
    </row>
    <row r="551" customFormat="false" ht="15" hidden="false" customHeight="false" outlineLevel="0" collapsed="false">
      <c r="A551" s="3" t="s">
        <v>897</v>
      </c>
      <c r="B551" s="3" t="s">
        <v>452</v>
      </c>
      <c r="C551" s="3" t="s">
        <v>31</v>
      </c>
      <c r="D551" s="3" t="s">
        <v>32</v>
      </c>
      <c r="E551" s="3" t="s">
        <v>23</v>
      </c>
      <c r="F551" s="3" t="s">
        <v>28</v>
      </c>
      <c r="G551" s="3" t="n">
        <v>5</v>
      </c>
      <c r="H551" s="3" t="n">
        <v>1499</v>
      </c>
    </row>
    <row r="552" customFormat="false" ht="15" hidden="false" customHeight="false" outlineLevel="0" collapsed="false">
      <c r="A552" s="3" t="s">
        <v>898</v>
      </c>
      <c r="B552" s="3" t="s">
        <v>390</v>
      </c>
      <c r="C552" s="3" t="s">
        <v>45</v>
      </c>
      <c r="D552" s="3" t="s">
        <v>12</v>
      </c>
      <c r="E552" s="3" t="s">
        <v>56</v>
      </c>
      <c r="F552" s="3" t="s">
        <v>24</v>
      </c>
      <c r="G552" s="3" t="n">
        <v>6</v>
      </c>
      <c r="H552" s="3" t="n">
        <v>499</v>
      </c>
    </row>
    <row r="553" customFormat="false" ht="15" hidden="false" customHeight="false" outlineLevel="0" collapsed="false">
      <c r="A553" s="3" t="s">
        <v>899</v>
      </c>
      <c r="B553" s="3" t="s">
        <v>332</v>
      </c>
      <c r="C553" s="3" t="s">
        <v>16</v>
      </c>
      <c r="D553" s="3" t="s">
        <v>12</v>
      </c>
      <c r="E553" s="3" t="s">
        <v>41</v>
      </c>
      <c r="F553" s="3" t="s">
        <v>18</v>
      </c>
      <c r="G553" s="3" t="n">
        <v>4</v>
      </c>
      <c r="H553" s="3" t="n">
        <v>2499</v>
      </c>
    </row>
    <row r="554" customFormat="false" ht="15" hidden="false" customHeight="false" outlineLevel="0" collapsed="false">
      <c r="A554" s="3" t="s">
        <v>900</v>
      </c>
      <c r="B554" s="3" t="s">
        <v>901</v>
      </c>
      <c r="C554" s="3" t="s">
        <v>75</v>
      </c>
      <c r="D554" s="3" t="s">
        <v>32</v>
      </c>
      <c r="E554" s="3" t="s">
        <v>41</v>
      </c>
      <c r="F554" s="4"/>
      <c r="G554" s="3" t="n">
        <v>13</v>
      </c>
      <c r="H554" s="3" t="n">
        <v>8999</v>
      </c>
    </row>
    <row r="555" customFormat="false" ht="15" hidden="false" customHeight="false" outlineLevel="0" collapsed="false">
      <c r="A555" s="3" t="s">
        <v>902</v>
      </c>
      <c r="B555" s="3" t="s">
        <v>62</v>
      </c>
      <c r="C555" s="3" t="s">
        <v>93</v>
      </c>
      <c r="D555" s="3" t="s">
        <v>12</v>
      </c>
      <c r="E555" s="3" t="s">
        <v>56</v>
      </c>
      <c r="F555" s="3" t="s">
        <v>24</v>
      </c>
      <c r="G555" s="3" t="n">
        <v>4</v>
      </c>
      <c r="H555" s="3" t="n">
        <v>1299</v>
      </c>
    </row>
    <row r="556" customFormat="false" ht="15" hidden="false" customHeight="false" outlineLevel="0" collapsed="false">
      <c r="A556" s="3" t="s">
        <v>903</v>
      </c>
      <c r="B556" s="3" t="s">
        <v>904</v>
      </c>
      <c r="C556" s="3" t="s">
        <v>105</v>
      </c>
      <c r="D556" s="3" t="s">
        <v>32</v>
      </c>
      <c r="E556" s="3" t="s">
        <v>23</v>
      </c>
      <c r="F556" s="3" t="s">
        <v>42</v>
      </c>
      <c r="G556" s="3" t="n">
        <v>12</v>
      </c>
      <c r="H556" s="3" t="n">
        <v>1799</v>
      </c>
    </row>
    <row r="557" customFormat="false" ht="15" hidden="false" customHeight="false" outlineLevel="0" collapsed="false">
      <c r="A557" s="3" t="s">
        <v>905</v>
      </c>
      <c r="B557" s="3" t="s">
        <v>176</v>
      </c>
      <c r="C557" s="3" t="s">
        <v>31</v>
      </c>
      <c r="D557" s="3" t="s">
        <v>32</v>
      </c>
      <c r="E557" s="3" t="s">
        <v>13</v>
      </c>
      <c r="F557" s="3" t="s">
        <v>42</v>
      </c>
      <c r="G557" s="3" t="n">
        <v>12</v>
      </c>
      <c r="H557" s="3" t="n">
        <v>1499</v>
      </c>
    </row>
    <row r="558" customFormat="false" ht="15" hidden="false" customHeight="false" outlineLevel="0" collapsed="false">
      <c r="A558" s="3" t="s">
        <v>906</v>
      </c>
      <c r="B558" s="3" t="s">
        <v>199</v>
      </c>
      <c r="C558" s="3" t="s">
        <v>16</v>
      </c>
      <c r="D558" s="3" t="s">
        <v>12</v>
      </c>
      <c r="E558" s="3" t="s">
        <v>13</v>
      </c>
      <c r="F558" s="3" t="s">
        <v>18</v>
      </c>
      <c r="G558" s="3" t="n">
        <v>5</v>
      </c>
      <c r="H558" s="3" t="n">
        <v>2499</v>
      </c>
    </row>
    <row r="559" customFormat="false" ht="15" hidden="false" customHeight="false" outlineLevel="0" collapsed="false">
      <c r="A559" s="3" t="s">
        <v>907</v>
      </c>
      <c r="B559" s="3" t="s">
        <v>321</v>
      </c>
      <c r="C559" s="3" t="s">
        <v>93</v>
      </c>
      <c r="D559" s="3" t="s">
        <v>12</v>
      </c>
      <c r="E559" s="3" t="s">
        <v>56</v>
      </c>
      <c r="F559" s="3" t="s">
        <v>18</v>
      </c>
      <c r="G559" s="3" t="n">
        <v>7</v>
      </c>
      <c r="H559" s="3" t="n">
        <v>1299</v>
      </c>
    </row>
    <row r="560" customFormat="false" ht="15" hidden="false" customHeight="false" outlineLevel="0" collapsed="false">
      <c r="A560" s="3" t="s">
        <v>908</v>
      </c>
      <c r="B560" s="3" t="s">
        <v>793</v>
      </c>
      <c r="C560" s="3" t="s">
        <v>105</v>
      </c>
      <c r="D560" s="3" t="s">
        <v>32</v>
      </c>
      <c r="E560" s="3" t="s">
        <v>23</v>
      </c>
      <c r="F560" s="3" t="s">
        <v>24</v>
      </c>
      <c r="G560" s="3" t="n">
        <v>12</v>
      </c>
      <c r="H560" s="3" t="n">
        <v>1799</v>
      </c>
    </row>
    <row r="561" customFormat="false" ht="15" hidden="false" customHeight="false" outlineLevel="0" collapsed="false">
      <c r="A561" s="3" t="s">
        <v>909</v>
      </c>
      <c r="B561" s="3" t="s">
        <v>910</v>
      </c>
      <c r="C561" s="3" t="s">
        <v>75</v>
      </c>
      <c r="D561" s="3" t="s">
        <v>32</v>
      </c>
      <c r="E561" s="3" t="s">
        <v>13</v>
      </c>
      <c r="F561" s="3" t="s">
        <v>24</v>
      </c>
      <c r="G561" s="3" t="n">
        <v>3</v>
      </c>
      <c r="H561" s="3" t="n">
        <v>8999</v>
      </c>
    </row>
    <row r="562" customFormat="false" ht="15" hidden="false" customHeight="false" outlineLevel="0" collapsed="false">
      <c r="A562" s="3" t="s">
        <v>911</v>
      </c>
      <c r="B562" s="3" t="s">
        <v>70</v>
      </c>
      <c r="C562" s="3" t="s">
        <v>16</v>
      </c>
      <c r="D562" s="3" t="s">
        <v>12</v>
      </c>
      <c r="E562" s="3" t="s">
        <v>56</v>
      </c>
      <c r="F562" s="3" t="s">
        <v>24</v>
      </c>
      <c r="G562" s="3" t="n">
        <v>2</v>
      </c>
      <c r="H562" s="3" t="n">
        <v>2499</v>
      </c>
    </row>
    <row r="563" customFormat="false" ht="15" hidden="false" customHeight="false" outlineLevel="0" collapsed="false">
      <c r="A563" s="3" t="s">
        <v>912</v>
      </c>
      <c r="B563" s="3" t="s">
        <v>427</v>
      </c>
      <c r="C563" s="3" t="s">
        <v>105</v>
      </c>
      <c r="D563" s="3" t="s">
        <v>32</v>
      </c>
      <c r="E563" s="3" t="s">
        <v>13</v>
      </c>
      <c r="F563" s="3" t="s">
        <v>42</v>
      </c>
      <c r="G563" s="3" t="n">
        <v>6</v>
      </c>
      <c r="H563" s="3" t="n">
        <v>1799</v>
      </c>
    </row>
    <row r="564" customFormat="false" ht="15" hidden="false" customHeight="false" outlineLevel="0" collapsed="false">
      <c r="A564" s="3" t="s">
        <v>913</v>
      </c>
      <c r="B564" s="3" t="s">
        <v>914</v>
      </c>
      <c r="C564" s="3" t="s">
        <v>27</v>
      </c>
      <c r="D564" s="3" t="s">
        <v>22</v>
      </c>
      <c r="E564" s="3" t="s">
        <v>56</v>
      </c>
      <c r="F564" s="3" t="s">
        <v>35</v>
      </c>
      <c r="G564" s="3" t="n">
        <v>11</v>
      </c>
      <c r="H564" s="4"/>
    </row>
    <row r="565" customFormat="false" ht="15" hidden="false" customHeight="false" outlineLevel="0" collapsed="false">
      <c r="A565" s="3" t="s">
        <v>915</v>
      </c>
      <c r="B565" s="3" t="s">
        <v>916</v>
      </c>
      <c r="C565" s="3" t="s">
        <v>917</v>
      </c>
      <c r="D565" s="3" t="s">
        <v>32</v>
      </c>
      <c r="E565" s="3" t="s">
        <v>13</v>
      </c>
      <c r="F565" s="3" t="s">
        <v>35</v>
      </c>
      <c r="G565" s="3" t="n">
        <v>10</v>
      </c>
      <c r="H565" s="3" t="n">
        <v>1499</v>
      </c>
    </row>
    <row r="566" customFormat="false" ht="15" hidden="false" customHeight="false" outlineLevel="0" collapsed="false">
      <c r="A566" s="3" t="s">
        <v>918</v>
      </c>
      <c r="B566" s="3" t="s">
        <v>919</v>
      </c>
      <c r="C566" s="3" t="s">
        <v>27</v>
      </c>
      <c r="D566" s="3" t="s">
        <v>22</v>
      </c>
      <c r="E566" s="3" t="s">
        <v>56</v>
      </c>
      <c r="F566" s="3" t="s">
        <v>42</v>
      </c>
      <c r="G566" s="4"/>
      <c r="H566" s="3" t="n">
        <v>899</v>
      </c>
    </row>
    <row r="567" customFormat="false" ht="15" hidden="false" customHeight="false" outlineLevel="0" collapsed="false">
      <c r="A567" s="3" t="s">
        <v>920</v>
      </c>
      <c r="B567" s="3" t="s">
        <v>190</v>
      </c>
      <c r="C567" s="3" t="s">
        <v>31</v>
      </c>
      <c r="D567" s="3" t="s">
        <v>32</v>
      </c>
      <c r="E567" s="3" t="s">
        <v>56</v>
      </c>
      <c r="F567" s="3" t="s">
        <v>35</v>
      </c>
      <c r="G567" s="3" t="n">
        <v>12</v>
      </c>
      <c r="H567" s="3" t="n">
        <v>1499</v>
      </c>
    </row>
    <row r="568" customFormat="false" ht="15" hidden="false" customHeight="false" outlineLevel="0" collapsed="false">
      <c r="A568" s="3" t="s">
        <v>921</v>
      </c>
      <c r="B568" s="3" t="s">
        <v>247</v>
      </c>
      <c r="C568" s="3" t="s">
        <v>105</v>
      </c>
      <c r="D568" s="3" t="s">
        <v>32</v>
      </c>
      <c r="E568" s="3" t="s">
        <v>56</v>
      </c>
      <c r="F568" s="3" t="s">
        <v>24</v>
      </c>
      <c r="G568" s="4"/>
      <c r="H568" s="3" t="n">
        <v>1799</v>
      </c>
    </row>
    <row r="569" customFormat="false" ht="15" hidden="false" customHeight="false" outlineLevel="0" collapsed="false">
      <c r="A569" s="3" t="s">
        <v>922</v>
      </c>
      <c r="B569" s="3" t="s">
        <v>923</v>
      </c>
      <c r="C569" s="3" t="s">
        <v>16</v>
      </c>
      <c r="D569" s="3" t="s">
        <v>12</v>
      </c>
      <c r="E569" s="3" t="s">
        <v>56</v>
      </c>
      <c r="F569" s="3" t="s">
        <v>42</v>
      </c>
      <c r="G569" s="3" t="n">
        <v>4</v>
      </c>
      <c r="H569" s="3" t="n">
        <v>2499</v>
      </c>
    </row>
    <row r="570" customFormat="false" ht="15" hidden="false" customHeight="false" outlineLevel="0" collapsed="false">
      <c r="A570" s="3" t="s">
        <v>924</v>
      </c>
      <c r="B570" s="3" t="s">
        <v>20</v>
      </c>
      <c r="C570" s="3" t="s">
        <v>45</v>
      </c>
      <c r="D570" s="3" t="s">
        <v>12</v>
      </c>
      <c r="E570" s="3" t="s">
        <v>23</v>
      </c>
      <c r="F570" s="3" t="s">
        <v>28</v>
      </c>
      <c r="G570" s="3" t="n">
        <v>8</v>
      </c>
      <c r="H570" s="3" t="n">
        <v>499</v>
      </c>
    </row>
    <row r="571" customFormat="false" ht="15" hidden="false" customHeight="false" outlineLevel="0" collapsed="false">
      <c r="A571" s="3" t="s">
        <v>925</v>
      </c>
      <c r="B571" s="3" t="s">
        <v>394</v>
      </c>
      <c r="C571" s="3" t="s">
        <v>55</v>
      </c>
      <c r="D571" s="3" t="s">
        <v>12</v>
      </c>
      <c r="E571" s="3" t="s">
        <v>13</v>
      </c>
      <c r="F571" s="3" t="s">
        <v>42</v>
      </c>
      <c r="G571" s="3" t="n">
        <v>13</v>
      </c>
      <c r="H571" s="3" t="n">
        <v>299</v>
      </c>
    </row>
    <row r="572" customFormat="false" ht="15" hidden="false" customHeight="false" outlineLevel="0" collapsed="false">
      <c r="A572" s="3" t="s">
        <v>926</v>
      </c>
      <c r="B572" s="3" t="s">
        <v>240</v>
      </c>
      <c r="C572" s="3" t="s">
        <v>105</v>
      </c>
      <c r="D572" s="3" t="s">
        <v>32</v>
      </c>
      <c r="E572" s="3" t="s">
        <v>23</v>
      </c>
      <c r="F572" s="3" t="s">
        <v>24</v>
      </c>
      <c r="G572" s="3" t="n">
        <v>6</v>
      </c>
      <c r="H572" s="3" t="n">
        <v>1799</v>
      </c>
    </row>
    <row r="573" customFormat="false" ht="15" hidden="false" customHeight="false" outlineLevel="0" collapsed="false">
      <c r="A573" s="3" t="s">
        <v>927</v>
      </c>
      <c r="B573" s="3" t="s">
        <v>711</v>
      </c>
      <c r="C573" s="3" t="s">
        <v>31</v>
      </c>
      <c r="D573" s="3" t="s">
        <v>32</v>
      </c>
      <c r="E573" s="3" t="s">
        <v>56</v>
      </c>
      <c r="F573" s="3" t="s">
        <v>42</v>
      </c>
      <c r="G573" s="3" t="n">
        <v>11</v>
      </c>
      <c r="H573" s="3" t="n">
        <v>1499</v>
      </c>
    </row>
    <row r="574" customFormat="false" ht="15" hidden="false" customHeight="false" outlineLevel="0" collapsed="false">
      <c r="A574" s="3" t="s">
        <v>928</v>
      </c>
      <c r="B574" s="3" t="s">
        <v>166</v>
      </c>
      <c r="C574" s="3" t="s">
        <v>105</v>
      </c>
      <c r="D574" s="3" t="s">
        <v>32</v>
      </c>
      <c r="E574" s="3" t="s">
        <v>56</v>
      </c>
      <c r="F574" s="3" t="s">
        <v>28</v>
      </c>
      <c r="G574" s="3" t="n">
        <v>13</v>
      </c>
      <c r="H574" s="3" t="n">
        <v>1799</v>
      </c>
    </row>
    <row r="575" customFormat="false" ht="15" hidden="false" customHeight="false" outlineLevel="0" collapsed="false">
      <c r="A575" s="3" t="s">
        <v>929</v>
      </c>
      <c r="B575" s="3" t="s">
        <v>862</v>
      </c>
      <c r="C575" s="3" t="s">
        <v>16</v>
      </c>
      <c r="D575" s="3" t="s">
        <v>12</v>
      </c>
      <c r="E575" s="3" t="s">
        <v>13</v>
      </c>
      <c r="F575" s="3" t="s">
        <v>28</v>
      </c>
      <c r="G575" s="3" t="n">
        <v>7</v>
      </c>
      <c r="H575" s="3" t="n">
        <v>2499</v>
      </c>
    </row>
    <row r="576" customFormat="false" ht="15" hidden="false" customHeight="false" outlineLevel="0" collapsed="false">
      <c r="A576" s="3" t="s">
        <v>930</v>
      </c>
      <c r="B576" s="3" t="s">
        <v>285</v>
      </c>
      <c r="C576" s="3" t="s">
        <v>27</v>
      </c>
      <c r="D576" s="3" t="s">
        <v>22</v>
      </c>
      <c r="E576" s="3" t="s">
        <v>13</v>
      </c>
      <c r="F576" s="3" t="s">
        <v>35</v>
      </c>
      <c r="G576" s="3" t="n">
        <v>3</v>
      </c>
      <c r="H576" s="3" t="n">
        <v>899</v>
      </c>
    </row>
    <row r="577" customFormat="false" ht="15" hidden="false" customHeight="false" outlineLevel="0" collapsed="false">
      <c r="A577" s="3" t="s">
        <v>931</v>
      </c>
      <c r="B577" s="3" t="s">
        <v>212</v>
      </c>
      <c r="C577" s="3" t="s">
        <v>27</v>
      </c>
      <c r="D577" s="3" t="s">
        <v>22</v>
      </c>
      <c r="E577" s="3" t="s">
        <v>41</v>
      </c>
      <c r="F577" s="3" t="s">
        <v>18</v>
      </c>
      <c r="G577" s="3" t="n">
        <v>12</v>
      </c>
      <c r="H577" s="3" t="n">
        <v>899</v>
      </c>
    </row>
    <row r="578" customFormat="false" ht="15" hidden="false" customHeight="false" outlineLevel="0" collapsed="false">
      <c r="A578" s="3" t="s">
        <v>932</v>
      </c>
      <c r="B578" s="3" t="s">
        <v>74</v>
      </c>
      <c r="C578" s="3" t="s">
        <v>11</v>
      </c>
      <c r="D578" s="3" t="s">
        <v>12</v>
      </c>
      <c r="E578" s="3" t="s">
        <v>23</v>
      </c>
      <c r="F578" s="3" t="s">
        <v>42</v>
      </c>
      <c r="G578" s="3" t="n">
        <v>2</v>
      </c>
      <c r="H578" s="3" t="n">
        <v>1299</v>
      </c>
    </row>
    <row r="579" customFormat="false" ht="15" hidden="false" customHeight="false" outlineLevel="0" collapsed="false">
      <c r="A579" s="3" t="s">
        <v>933</v>
      </c>
      <c r="B579" s="3" t="s">
        <v>390</v>
      </c>
      <c r="C579" s="3" t="s">
        <v>16</v>
      </c>
      <c r="D579" s="3" t="s">
        <v>12</v>
      </c>
      <c r="E579" s="3" t="s">
        <v>41</v>
      </c>
      <c r="F579" s="3" t="s">
        <v>42</v>
      </c>
      <c r="G579" s="3" t="n">
        <v>6</v>
      </c>
      <c r="H579" s="3" t="n">
        <v>2499</v>
      </c>
    </row>
    <row r="580" customFormat="false" ht="15" hidden="false" customHeight="false" outlineLevel="0" collapsed="false">
      <c r="A580" s="3" t="s">
        <v>934</v>
      </c>
      <c r="B580" s="3" t="s">
        <v>117</v>
      </c>
      <c r="C580" s="3" t="s">
        <v>27</v>
      </c>
      <c r="D580" s="3" t="s">
        <v>22</v>
      </c>
      <c r="E580" s="3" t="s">
        <v>41</v>
      </c>
      <c r="F580" s="3" t="s">
        <v>35</v>
      </c>
      <c r="G580" s="3" t="n">
        <v>5</v>
      </c>
      <c r="H580" s="3" t="n">
        <v>899</v>
      </c>
    </row>
    <row r="581" customFormat="false" ht="15" hidden="false" customHeight="false" outlineLevel="0" collapsed="false">
      <c r="A581" s="3" t="s">
        <v>935</v>
      </c>
      <c r="B581" s="3" t="s">
        <v>386</v>
      </c>
      <c r="C581" s="3" t="s">
        <v>105</v>
      </c>
      <c r="D581" s="3" t="s">
        <v>32</v>
      </c>
      <c r="E581" s="3" t="s">
        <v>41</v>
      </c>
      <c r="F581" s="3" t="s">
        <v>28</v>
      </c>
      <c r="G581" s="3" t="n">
        <v>7</v>
      </c>
      <c r="H581" s="3" t="n">
        <v>1799</v>
      </c>
    </row>
    <row r="582" customFormat="false" ht="15" hidden="false" customHeight="false" outlineLevel="0" collapsed="false">
      <c r="A582" s="3" t="s">
        <v>936</v>
      </c>
      <c r="B582" s="3" t="s">
        <v>452</v>
      </c>
      <c r="C582" s="3" t="s">
        <v>45</v>
      </c>
      <c r="D582" s="3" t="s">
        <v>12</v>
      </c>
      <c r="E582" s="3" t="s">
        <v>56</v>
      </c>
      <c r="F582" s="3" t="s">
        <v>35</v>
      </c>
      <c r="G582" s="3" t="n">
        <v>13</v>
      </c>
      <c r="H582" s="3" t="n">
        <v>499</v>
      </c>
    </row>
    <row r="583" customFormat="false" ht="15" hidden="false" customHeight="false" outlineLevel="0" collapsed="false">
      <c r="A583" s="3" t="s">
        <v>937</v>
      </c>
      <c r="B583" s="3" t="s">
        <v>410</v>
      </c>
      <c r="C583" s="3" t="s">
        <v>93</v>
      </c>
      <c r="D583" s="3" t="s">
        <v>12</v>
      </c>
      <c r="E583" s="3" t="s">
        <v>41</v>
      </c>
      <c r="F583" s="3" t="s">
        <v>18</v>
      </c>
      <c r="G583" s="4"/>
      <c r="H583" s="3" t="n">
        <v>1299</v>
      </c>
    </row>
    <row r="584" customFormat="false" ht="15" hidden="false" customHeight="false" outlineLevel="0" collapsed="false">
      <c r="A584" s="3" t="s">
        <v>938</v>
      </c>
      <c r="B584" s="3" t="s">
        <v>334</v>
      </c>
      <c r="C584" s="3" t="s">
        <v>93</v>
      </c>
      <c r="D584" s="3" t="s">
        <v>12</v>
      </c>
      <c r="E584" s="3" t="s">
        <v>13</v>
      </c>
      <c r="F584" s="3" t="s">
        <v>42</v>
      </c>
      <c r="G584" s="3" t="n">
        <v>11</v>
      </c>
      <c r="H584" s="3" t="n">
        <v>1299</v>
      </c>
    </row>
    <row r="585" customFormat="false" ht="15" hidden="false" customHeight="false" outlineLevel="0" collapsed="false">
      <c r="A585" s="3" t="s">
        <v>939</v>
      </c>
      <c r="B585" s="3" t="s">
        <v>186</v>
      </c>
      <c r="C585" s="3" t="s">
        <v>21</v>
      </c>
      <c r="D585" s="3" t="s">
        <v>22</v>
      </c>
      <c r="E585" s="3" t="s">
        <v>56</v>
      </c>
      <c r="F585" s="3" t="s">
        <v>35</v>
      </c>
      <c r="G585" s="3" t="n">
        <v>4</v>
      </c>
      <c r="H585" s="3" t="n">
        <v>699</v>
      </c>
    </row>
    <row r="586" customFormat="false" ht="15" hidden="false" customHeight="false" outlineLevel="0" collapsed="false">
      <c r="A586" s="3" t="s">
        <v>940</v>
      </c>
      <c r="B586" s="3" t="s">
        <v>52</v>
      </c>
      <c r="C586" s="3" t="s">
        <v>16</v>
      </c>
      <c r="D586" s="3" t="s">
        <v>12</v>
      </c>
      <c r="E586" s="3" t="s">
        <v>41</v>
      </c>
      <c r="F586" s="3" t="s">
        <v>18</v>
      </c>
      <c r="G586" s="3" t="n">
        <v>10</v>
      </c>
      <c r="H586" s="3" t="n">
        <v>2499</v>
      </c>
    </row>
    <row r="587" customFormat="false" ht="15" hidden="false" customHeight="false" outlineLevel="0" collapsed="false">
      <c r="A587" s="3" t="s">
        <v>941</v>
      </c>
      <c r="B587" s="3" t="s">
        <v>204</v>
      </c>
      <c r="C587" s="3" t="s">
        <v>21</v>
      </c>
      <c r="D587" s="3" t="s">
        <v>22</v>
      </c>
      <c r="E587" s="3" t="s">
        <v>41</v>
      </c>
      <c r="F587" s="3" t="s">
        <v>24</v>
      </c>
      <c r="G587" s="4"/>
      <c r="H587" s="3" t="n">
        <v>699</v>
      </c>
    </row>
    <row r="588" customFormat="false" ht="15" hidden="false" customHeight="false" outlineLevel="0" collapsed="false">
      <c r="A588" s="3" t="s">
        <v>942</v>
      </c>
      <c r="B588" s="3" t="s">
        <v>100</v>
      </c>
      <c r="C588" s="3" t="s">
        <v>93</v>
      </c>
      <c r="D588" s="3" t="s">
        <v>12</v>
      </c>
      <c r="E588" s="3" t="s">
        <v>13</v>
      </c>
      <c r="F588" s="3" t="s">
        <v>28</v>
      </c>
      <c r="G588" s="3" t="n">
        <v>2</v>
      </c>
      <c r="H588" s="3" t="n">
        <v>1299</v>
      </c>
    </row>
    <row r="589" customFormat="false" ht="15" hidden="false" customHeight="false" outlineLevel="0" collapsed="false">
      <c r="A589" s="3" t="s">
        <v>943</v>
      </c>
      <c r="B589" s="3" t="s">
        <v>228</v>
      </c>
      <c r="C589" s="3" t="s">
        <v>944</v>
      </c>
      <c r="D589" s="3" t="s">
        <v>32</v>
      </c>
      <c r="E589" s="3" t="s">
        <v>13</v>
      </c>
      <c r="F589" s="3" t="s">
        <v>24</v>
      </c>
      <c r="G589" s="3" t="n">
        <v>11</v>
      </c>
      <c r="H589" s="3" t="n">
        <v>8999</v>
      </c>
    </row>
    <row r="590" customFormat="false" ht="15" hidden="false" customHeight="false" outlineLevel="0" collapsed="false">
      <c r="A590" s="3" t="s">
        <v>945</v>
      </c>
      <c r="B590" s="3" t="s">
        <v>287</v>
      </c>
      <c r="C590" s="3" t="s">
        <v>16</v>
      </c>
      <c r="D590" s="3" t="s">
        <v>12</v>
      </c>
      <c r="E590" s="3" t="s">
        <v>13</v>
      </c>
      <c r="F590" s="3" t="s">
        <v>24</v>
      </c>
      <c r="G590" s="3" t="n">
        <v>12</v>
      </c>
      <c r="H590" s="3" t="n">
        <v>2499</v>
      </c>
    </row>
    <row r="591" customFormat="false" ht="15" hidden="false" customHeight="false" outlineLevel="0" collapsed="false">
      <c r="A591" s="3" t="s">
        <v>946</v>
      </c>
      <c r="B591" s="3" t="s">
        <v>910</v>
      </c>
      <c r="C591" s="3" t="s">
        <v>21</v>
      </c>
      <c r="D591" s="3" t="s">
        <v>22</v>
      </c>
      <c r="E591" s="3" t="s">
        <v>56</v>
      </c>
      <c r="F591" s="3" t="s">
        <v>24</v>
      </c>
      <c r="G591" s="3" t="n">
        <v>4</v>
      </c>
      <c r="H591" s="3" t="n">
        <v>699</v>
      </c>
    </row>
    <row r="592" customFormat="false" ht="15" hidden="false" customHeight="false" outlineLevel="0" collapsed="false">
      <c r="A592" s="3" t="s">
        <v>947</v>
      </c>
      <c r="B592" s="3" t="s">
        <v>104</v>
      </c>
      <c r="C592" s="3" t="s">
        <v>45</v>
      </c>
      <c r="D592" s="3" t="s">
        <v>12</v>
      </c>
      <c r="E592" s="3" t="s">
        <v>41</v>
      </c>
      <c r="F592" s="3" t="s">
        <v>35</v>
      </c>
      <c r="G592" s="3" t="n">
        <v>3</v>
      </c>
      <c r="H592" s="3" t="n">
        <v>499</v>
      </c>
    </row>
    <row r="593" customFormat="false" ht="15" hidden="false" customHeight="false" outlineLevel="0" collapsed="false">
      <c r="A593" s="3" t="s">
        <v>948</v>
      </c>
      <c r="B593" s="3" t="s">
        <v>949</v>
      </c>
      <c r="C593" s="3" t="s">
        <v>105</v>
      </c>
      <c r="D593" s="3" t="s">
        <v>32</v>
      </c>
      <c r="E593" s="3" t="s">
        <v>23</v>
      </c>
      <c r="F593" s="3" t="s">
        <v>18</v>
      </c>
      <c r="G593" s="3" t="n">
        <v>12</v>
      </c>
      <c r="H593" s="3" t="n">
        <v>1799</v>
      </c>
    </row>
    <row r="594" customFormat="false" ht="15" hidden="false" customHeight="false" outlineLevel="0" collapsed="false">
      <c r="A594" s="3" t="s">
        <v>950</v>
      </c>
      <c r="B594" s="3" t="s">
        <v>747</v>
      </c>
      <c r="C594" s="3" t="s">
        <v>55</v>
      </c>
      <c r="D594" s="3" t="s">
        <v>12</v>
      </c>
      <c r="E594" s="3" t="s">
        <v>56</v>
      </c>
      <c r="F594" s="3" t="s">
        <v>24</v>
      </c>
      <c r="G594" s="3" t="n">
        <v>6</v>
      </c>
      <c r="H594" s="3" t="n">
        <v>299</v>
      </c>
    </row>
    <row r="595" customFormat="false" ht="15" hidden="false" customHeight="false" outlineLevel="0" collapsed="false">
      <c r="A595" s="3" t="s">
        <v>951</v>
      </c>
      <c r="B595" s="3" t="s">
        <v>671</v>
      </c>
      <c r="C595" s="3" t="s">
        <v>45</v>
      </c>
      <c r="D595" s="3" t="s">
        <v>12</v>
      </c>
      <c r="E595" s="3" t="s">
        <v>56</v>
      </c>
      <c r="F595" s="3" t="s">
        <v>18</v>
      </c>
      <c r="G595" s="3" t="n">
        <v>6</v>
      </c>
      <c r="H595" s="3" t="n">
        <v>499</v>
      </c>
    </row>
    <row r="596" customFormat="false" ht="15" hidden="false" customHeight="false" outlineLevel="0" collapsed="false">
      <c r="A596" s="3" t="s">
        <v>952</v>
      </c>
      <c r="B596" s="3" t="s">
        <v>133</v>
      </c>
      <c r="C596" s="3" t="s">
        <v>105</v>
      </c>
      <c r="D596" s="3" t="s">
        <v>32</v>
      </c>
      <c r="E596" s="3" t="s">
        <v>638</v>
      </c>
      <c r="F596" s="3" t="s">
        <v>42</v>
      </c>
      <c r="G596" s="3" t="n">
        <v>9</v>
      </c>
      <c r="H596" s="3" t="n">
        <v>1799</v>
      </c>
    </row>
    <row r="597" customFormat="false" ht="15" hidden="false" customHeight="false" outlineLevel="0" collapsed="false">
      <c r="A597" s="3" t="s">
        <v>953</v>
      </c>
      <c r="B597" s="3" t="s">
        <v>954</v>
      </c>
      <c r="C597" s="3" t="s">
        <v>16</v>
      </c>
      <c r="D597" s="3" t="s">
        <v>12</v>
      </c>
      <c r="E597" s="3" t="s">
        <v>41</v>
      </c>
      <c r="F597" s="3" t="s">
        <v>18</v>
      </c>
      <c r="G597" s="3" t="n">
        <v>8</v>
      </c>
      <c r="H597" s="3" t="n">
        <v>2499</v>
      </c>
    </row>
    <row r="598" customFormat="false" ht="15" hidden="false" customHeight="false" outlineLevel="0" collapsed="false">
      <c r="A598" s="3" t="s">
        <v>955</v>
      </c>
      <c r="B598" s="3" t="s">
        <v>692</v>
      </c>
      <c r="C598" s="3" t="s">
        <v>105</v>
      </c>
      <c r="D598" s="3" t="s">
        <v>32</v>
      </c>
      <c r="E598" s="3" t="s">
        <v>56</v>
      </c>
      <c r="F598" s="3" t="s">
        <v>18</v>
      </c>
      <c r="G598" s="3" t="n">
        <v>5</v>
      </c>
      <c r="H598" s="3" t="n">
        <v>1799</v>
      </c>
    </row>
    <row r="599" customFormat="false" ht="15" hidden="false" customHeight="false" outlineLevel="0" collapsed="false">
      <c r="A599" s="3" t="s">
        <v>956</v>
      </c>
      <c r="B599" s="3" t="s">
        <v>343</v>
      </c>
      <c r="C599" s="3" t="s">
        <v>75</v>
      </c>
      <c r="D599" s="3" t="s">
        <v>32</v>
      </c>
      <c r="E599" s="3" t="s">
        <v>56</v>
      </c>
      <c r="F599" s="3" t="s">
        <v>42</v>
      </c>
      <c r="G599" s="3" t="n">
        <v>14</v>
      </c>
      <c r="H599" s="3" t="n">
        <v>8999</v>
      </c>
    </row>
    <row r="600" customFormat="false" ht="15" hidden="false" customHeight="false" outlineLevel="0" collapsed="false">
      <c r="A600" s="3" t="s">
        <v>957</v>
      </c>
      <c r="B600" s="3" t="s">
        <v>747</v>
      </c>
      <c r="C600" s="3" t="s">
        <v>27</v>
      </c>
      <c r="D600" s="3" t="s">
        <v>22</v>
      </c>
      <c r="E600" s="3" t="s">
        <v>13</v>
      </c>
      <c r="F600" s="3" t="s">
        <v>35</v>
      </c>
      <c r="G600" s="3" t="n">
        <v>4</v>
      </c>
      <c r="H600" s="3" t="n">
        <v>899</v>
      </c>
    </row>
    <row r="601" customFormat="false" ht="15" hidden="false" customHeight="false" outlineLevel="0" collapsed="false">
      <c r="A601" s="3" t="s">
        <v>958</v>
      </c>
      <c r="B601" s="3" t="s">
        <v>806</v>
      </c>
      <c r="C601" s="3" t="s">
        <v>45</v>
      </c>
      <c r="D601" s="3" t="s">
        <v>12</v>
      </c>
      <c r="E601" s="3" t="s">
        <v>56</v>
      </c>
      <c r="F601" s="3" t="s">
        <v>35</v>
      </c>
      <c r="G601" s="3" t="n">
        <v>12</v>
      </c>
      <c r="H601" s="3" t="n">
        <v>499</v>
      </c>
    </row>
    <row r="602" customFormat="false" ht="15" hidden="false" customHeight="false" outlineLevel="0" collapsed="false">
      <c r="A602" s="3" t="s">
        <v>959</v>
      </c>
      <c r="B602" s="3" t="s">
        <v>398</v>
      </c>
      <c r="C602" s="3" t="s">
        <v>38</v>
      </c>
      <c r="D602" s="3" t="s">
        <v>32</v>
      </c>
      <c r="E602" s="3" t="s">
        <v>23</v>
      </c>
      <c r="F602" s="3" t="s">
        <v>42</v>
      </c>
      <c r="G602" s="3" t="n">
        <v>11</v>
      </c>
      <c r="H602" s="3" t="n">
        <v>1999</v>
      </c>
    </row>
    <row r="603" customFormat="false" ht="15" hidden="false" customHeight="false" outlineLevel="0" collapsed="false">
      <c r="A603" s="3" t="s">
        <v>960</v>
      </c>
      <c r="B603" s="3" t="s">
        <v>506</v>
      </c>
      <c r="C603" s="3" t="s">
        <v>27</v>
      </c>
      <c r="D603" s="3" t="s">
        <v>22</v>
      </c>
      <c r="E603" s="3" t="s">
        <v>113</v>
      </c>
      <c r="F603" s="3" t="s">
        <v>18</v>
      </c>
      <c r="G603" s="3" t="n">
        <v>13</v>
      </c>
      <c r="H603" s="3" t="n">
        <v>899</v>
      </c>
    </row>
    <row r="604" customFormat="false" ht="15" hidden="false" customHeight="false" outlineLevel="0" collapsed="false">
      <c r="A604" s="3" t="s">
        <v>961</v>
      </c>
      <c r="B604" s="3" t="s">
        <v>452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n">
        <v>7</v>
      </c>
      <c r="H604" s="3" t="n">
        <v>699</v>
      </c>
    </row>
    <row r="605" customFormat="false" ht="15" hidden="false" customHeight="false" outlineLevel="0" collapsed="false">
      <c r="A605" s="3" t="s">
        <v>962</v>
      </c>
      <c r="B605" s="3" t="s">
        <v>382</v>
      </c>
      <c r="C605" s="3" t="s">
        <v>27</v>
      </c>
      <c r="D605" s="3" t="s">
        <v>22</v>
      </c>
      <c r="E605" s="3" t="s">
        <v>13</v>
      </c>
      <c r="F605" s="3" t="s">
        <v>18</v>
      </c>
      <c r="G605" s="3" t="n">
        <v>8</v>
      </c>
      <c r="H605" s="3" t="n">
        <v>899</v>
      </c>
    </row>
    <row r="606" customFormat="false" ht="15" hidden="false" customHeight="false" outlineLevel="0" collapsed="false">
      <c r="A606" s="3" t="s">
        <v>963</v>
      </c>
      <c r="B606" s="3" t="s">
        <v>150</v>
      </c>
      <c r="C606" s="3" t="s">
        <v>38</v>
      </c>
      <c r="D606" s="3" t="s">
        <v>32</v>
      </c>
      <c r="E606" s="3" t="s">
        <v>41</v>
      </c>
      <c r="F606" s="3" t="s">
        <v>42</v>
      </c>
      <c r="G606" s="3" t="n">
        <v>3</v>
      </c>
      <c r="H606" s="3" t="n">
        <v>1999</v>
      </c>
    </row>
    <row r="607" customFormat="false" ht="15" hidden="false" customHeight="false" outlineLevel="0" collapsed="false">
      <c r="A607" s="3" t="s">
        <v>964</v>
      </c>
      <c r="B607" s="3" t="s">
        <v>182</v>
      </c>
      <c r="C607" s="3" t="s">
        <v>38</v>
      </c>
      <c r="D607" s="3" t="s">
        <v>32</v>
      </c>
      <c r="E607" s="3" t="s">
        <v>13</v>
      </c>
      <c r="F607" s="3" t="s">
        <v>42</v>
      </c>
      <c r="G607" s="3" t="n">
        <v>14</v>
      </c>
      <c r="H607" s="3" t="n">
        <v>1999</v>
      </c>
    </row>
    <row r="608" customFormat="false" ht="15" hidden="false" customHeight="false" outlineLevel="0" collapsed="false">
      <c r="A608" s="3" t="s">
        <v>965</v>
      </c>
      <c r="B608" s="3" t="s">
        <v>763</v>
      </c>
      <c r="C608" s="3" t="s">
        <v>16</v>
      </c>
      <c r="D608" s="3" t="s">
        <v>12</v>
      </c>
      <c r="E608" s="3" t="s">
        <v>23</v>
      </c>
      <c r="F608" s="3" t="s">
        <v>42</v>
      </c>
      <c r="G608" s="3" t="n">
        <v>10</v>
      </c>
      <c r="H608" s="3" t="n">
        <v>2499</v>
      </c>
    </row>
    <row r="609" customFormat="false" ht="15" hidden="false" customHeight="false" outlineLevel="0" collapsed="false">
      <c r="A609" s="3" t="s">
        <v>966</v>
      </c>
      <c r="B609" s="3" t="s">
        <v>967</v>
      </c>
      <c r="C609" s="3" t="s">
        <v>27</v>
      </c>
      <c r="D609" s="3" t="s">
        <v>22</v>
      </c>
      <c r="E609" s="3" t="s">
        <v>41</v>
      </c>
      <c r="F609" s="3" t="s">
        <v>18</v>
      </c>
      <c r="G609" s="3" t="n">
        <v>1</v>
      </c>
      <c r="H609" s="3" t="n">
        <v>899</v>
      </c>
    </row>
    <row r="610" customFormat="false" ht="15" hidden="false" customHeight="false" outlineLevel="0" collapsed="false">
      <c r="A610" s="3" t="s">
        <v>968</v>
      </c>
      <c r="B610" s="3" t="s">
        <v>146</v>
      </c>
      <c r="C610" s="3" t="s">
        <v>27</v>
      </c>
      <c r="D610" s="3" t="s">
        <v>22</v>
      </c>
      <c r="E610" s="3" t="s">
        <v>23</v>
      </c>
      <c r="F610" s="3" t="s">
        <v>18</v>
      </c>
      <c r="G610" s="3" t="n">
        <v>1</v>
      </c>
      <c r="H610" s="3" t="n">
        <v>899</v>
      </c>
    </row>
    <row r="611" customFormat="false" ht="15" hidden="false" customHeight="false" outlineLevel="0" collapsed="false">
      <c r="A611" s="3" t="s">
        <v>969</v>
      </c>
      <c r="B611" s="3" t="s">
        <v>90</v>
      </c>
      <c r="C611" s="3" t="s">
        <v>105</v>
      </c>
      <c r="D611" s="3" t="s">
        <v>32</v>
      </c>
      <c r="E611" s="3" t="s">
        <v>23</v>
      </c>
      <c r="F611" s="3" t="s">
        <v>42</v>
      </c>
      <c r="G611" s="3" t="n">
        <v>11</v>
      </c>
      <c r="H611" s="4"/>
    </row>
    <row r="612" customFormat="false" ht="15" hidden="false" customHeight="false" outlineLevel="0" collapsed="false">
      <c r="A612" s="3" t="s">
        <v>970</v>
      </c>
      <c r="B612" s="3" t="s">
        <v>971</v>
      </c>
      <c r="C612" s="3" t="s">
        <v>55</v>
      </c>
      <c r="D612" s="3" t="s">
        <v>12</v>
      </c>
      <c r="E612" s="3" t="s">
        <v>13</v>
      </c>
      <c r="F612" s="3" t="s">
        <v>28</v>
      </c>
      <c r="G612" s="3" t="n">
        <v>7</v>
      </c>
      <c r="H612" s="3" t="n">
        <v>299</v>
      </c>
    </row>
    <row r="613" customFormat="false" ht="15" hidden="false" customHeight="false" outlineLevel="0" collapsed="false">
      <c r="A613" s="3" t="s">
        <v>972</v>
      </c>
      <c r="B613" s="3" t="s">
        <v>973</v>
      </c>
      <c r="C613" s="3" t="s">
        <v>21</v>
      </c>
      <c r="D613" s="3" t="s">
        <v>22</v>
      </c>
      <c r="E613" s="3" t="s">
        <v>13</v>
      </c>
      <c r="F613" s="3" t="s">
        <v>42</v>
      </c>
      <c r="G613" s="3" t="n">
        <v>2</v>
      </c>
      <c r="H613" s="3" t="n">
        <v>699</v>
      </c>
    </row>
    <row r="614" customFormat="false" ht="15" hidden="false" customHeight="false" outlineLevel="0" collapsed="false">
      <c r="A614" s="3" t="s">
        <v>974</v>
      </c>
      <c r="B614" s="3" t="s">
        <v>26</v>
      </c>
      <c r="C614" s="3" t="s">
        <v>16</v>
      </c>
      <c r="D614" s="3" t="s">
        <v>12</v>
      </c>
      <c r="E614" s="3" t="s">
        <v>13</v>
      </c>
      <c r="F614" s="3" t="s">
        <v>42</v>
      </c>
      <c r="G614" s="3" t="n">
        <v>10</v>
      </c>
      <c r="H614" s="3" t="n">
        <v>2499</v>
      </c>
    </row>
    <row r="615" customFormat="false" ht="15" hidden="false" customHeight="false" outlineLevel="0" collapsed="false">
      <c r="A615" s="3" t="s">
        <v>975</v>
      </c>
      <c r="B615" s="3" t="s">
        <v>976</v>
      </c>
      <c r="C615" s="3" t="s">
        <v>383</v>
      </c>
      <c r="D615" s="3" t="s">
        <v>12</v>
      </c>
      <c r="E615" s="3" t="s">
        <v>56</v>
      </c>
      <c r="F615" s="3" t="s">
        <v>35</v>
      </c>
      <c r="G615" s="3" t="n">
        <v>12</v>
      </c>
      <c r="H615" s="3" t="n">
        <v>2499</v>
      </c>
    </row>
    <row r="616" customFormat="false" ht="15" hidden="false" customHeight="false" outlineLevel="0" collapsed="false">
      <c r="A616" s="3" t="s">
        <v>977</v>
      </c>
      <c r="B616" s="3" t="s">
        <v>386</v>
      </c>
      <c r="C616" s="3" t="s">
        <v>45</v>
      </c>
      <c r="D616" s="3" t="s">
        <v>12</v>
      </c>
      <c r="E616" s="3" t="s">
        <v>41</v>
      </c>
      <c r="F616" s="3" t="s">
        <v>24</v>
      </c>
      <c r="G616" s="3" t="n">
        <v>8</v>
      </c>
      <c r="H616" s="3" t="n">
        <v>499</v>
      </c>
    </row>
    <row r="617" customFormat="false" ht="15" hidden="false" customHeight="false" outlineLevel="0" collapsed="false">
      <c r="A617" s="3" t="s">
        <v>978</v>
      </c>
      <c r="B617" s="3" t="s">
        <v>890</v>
      </c>
      <c r="C617" s="3" t="s">
        <v>27</v>
      </c>
      <c r="D617" s="3" t="s">
        <v>22</v>
      </c>
      <c r="E617" s="3" t="s">
        <v>41</v>
      </c>
      <c r="F617" s="3" t="s">
        <v>42</v>
      </c>
      <c r="G617" s="3" t="n">
        <v>8</v>
      </c>
      <c r="H617" s="3" t="n">
        <v>899</v>
      </c>
    </row>
    <row r="618" customFormat="false" ht="15" hidden="false" customHeight="false" outlineLevel="0" collapsed="false">
      <c r="A618" s="3" t="s">
        <v>979</v>
      </c>
      <c r="B618" s="3" t="s">
        <v>60</v>
      </c>
      <c r="C618" s="3" t="s">
        <v>38</v>
      </c>
      <c r="D618" s="3" t="s">
        <v>32</v>
      </c>
      <c r="E618" s="3" t="s">
        <v>13</v>
      </c>
      <c r="F618" s="3" t="s">
        <v>42</v>
      </c>
      <c r="G618" s="3" t="n">
        <v>14</v>
      </c>
      <c r="H618" s="3" t="n">
        <v>1999</v>
      </c>
    </row>
    <row r="619" customFormat="false" ht="15" hidden="false" customHeight="false" outlineLevel="0" collapsed="false">
      <c r="A619" s="3" t="s">
        <v>980</v>
      </c>
      <c r="B619" s="3" t="s">
        <v>733</v>
      </c>
      <c r="C619" s="3" t="s">
        <v>981</v>
      </c>
      <c r="D619" s="3" t="s">
        <v>32</v>
      </c>
      <c r="E619" s="3" t="s">
        <v>41</v>
      </c>
      <c r="F619" s="3" t="s">
        <v>24</v>
      </c>
      <c r="G619" s="3" t="n">
        <v>11</v>
      </c>
      <c r="H619" s="3" t="n">
        <v>1999</v>
      </c>
    </row>
    <row r="620" customFormat="false" ht="15" hidden="false" customHeight="false" outlineLevel="0" collapsed="false">
      <c r="A620" s="3" t="s">
        <v>982</v>
      </c>
      <c r="B620" s="3" t="s">
        <v>463</v>
      </c>
      <c r="C620" s="3" t="s">
        <v>31</v>
      </c>
      <c r="D620" s="3" t="s">
        <v>32</v>
      </c>
      <c r="E620" s="3" t="s">
        <v>23</v>
      </c>
      <c r="F620" s="3" t="s">
        <v>42</v>
      </c>
      <c r="G620" s="3" t="n">
        <v>10</v>
      </c>
      <c r="H620" s="3" t="n">
        <v>1499</v>
      </c>
    </row>
    <row r="621" customFormat="false" ht="15" hidden="false" customHeight="false" outlineLevel="0" collapsed="false">
      <c r="A621" s="3" t="s">
        <v>983</v>
      </c>
      <c r="B621" s="3" t="s">
        <v>150</v>
      </c>
      <c r="C621" s="3" t="s">
        <v>55</v>
      </c>
      <c r="D621" s="3" t="s">
        <v>12</v>
      </c>
      <c r="E621" s="3" t="s">
        <v>41</v>
      </c>
      <c r="F621" s="3" t="s">
        <v>35</v>
      </c>
      <c r="G621" s="3" t="n">
        <v>10</v>
      </c>
      <c r="H621" s="3" t="n">
        <v>299</v>
      </c>
    </row>
    <row r="622" customFormat="false" ht="15" hidden="false" customHeight="false" outlineLevel="0" collapsed="false">
      <c r="A622" s="3" t="s">
        <v>984</v>
      </c>
      <c r="B622" s="3" t="s">
        <v>679</v>
      </c>
      <c r="C622" s="3" t="s">
        <v>21</v>
      </c>
      <c r="D622" s="3" t="s">
        <v>22</v>
      </c>
      <c r="E622" s="3" t="s">
        <v>23</v>
      </c>
      <c r="F622" s="3" t="s">
        <v>42</v>
      </c>
      <c r="G622" s="3" t="n">
        <v>2</v>
      </c>
      <c r="H622" s="3" t="n">
        <v>699</v>
      </c>
    </row>
    <row r="623" customFormat="false" ht="15" hidden="false" customHeight="false" outlineLevel="0" collapsed="false">
      <c r="A623" s="3" t="s">
        <v>985</v>
      </c>
      <c r="B623" s="3" t="s">
        <v>986</v>
      </c>
      <c r="C623" s="3" t="s">
        <v>75</v>
      </c>
      <c r="D623" s="3" t="s">
        <v>32</v>
      </c>
      <c r="E623" s="3" t="s">
        <v>13</v>
      </c>
      <c r="F623" s="3" t="s">
        <v>42</v>
      </c>
      <c r="G623" s="3" t="n">
        <v>9</v>
      </c>
      <c r="H623" s="3" t="n">
        <v>8999</v>
      </c>
    </row>
    <row r="624" customFormat="false" ht="15" hidden="false" customHeight="false" outlineLevel="0" collapsed="false">
      <c r="A624" s="3" t="s">
        <v>987</v>
      </c>
      <c r="B624" s="3" t="s">
        <v>988</v>
      </c>
      <c r="C624" s="3" t="s">
        <v>31</v>
      </c>
      <c r="D624" s="3" t="s">
        <v>32</v>
      </c>
      <c r="E624" s="3" t="s">
        <v>13</v>
      </c>
      <c r="F624" s="3" t="s">
        <v>42</v>
      </c>
      <c r="G624" s="3" t="n">
        <v>13</v>
      </c>
      <c r="H624" s="3" t="n">
        <v>1499</v>
      </c>
    </row>
    <row r="625" customFormat="false" ht="15" hidden="false" customHeight="false" outlineLevel="0" collapsed="false">
      <c r="A625" s="3" t="s">
        <v>989</v>
      </c>
      <c r="B625" s="3" t="s">
        <v>123</v>
      </c>
      <c r="C625" s="3" t="s">
        <v>45</v>
      </c>
      <c r="D625" s="3" t="s">
        <v>12</v>
      </c>
      <c r="E625" s="3" t="s">
        <v>56</v>
      </c>
      <c r="F625" s="3" t="s">
        <v>18</v>
      </c>
      <c r="G625" s="3" t="n">
        <v>10</v>
      </c>
      <c r="H625" s="3" t="n">
        <v>499</v>
      </c>
    </row>
    <row r="626" customFormat="false" ht="15" hidden="false" customHeight="false" outlineLevel="0" collapsed="false">
      <c r="A626" s="3" t="s">
        <v>990</v>
      </c>
      <c r="B626" s="3" t="s">
        <v>133</v>
      </c>
      <c r="C626" s="3" t="s">
        <v>105</v>
      </c>
      <c r="D626" s="3" t="s">
        <v>32</v>
      </c>
      <c r="E626" s="3" t="s">
        <v>56</v>
      </c>
      <c r="F626" s="3" t="s">
        <v>18</v>
      </c>
      <c r="G626" s="3" t="n">
        <v>4</v>
      </c>
      <c r="H626" s="3" t="n">
        <v>1799</v>
      </c>
    </row>
    <row r="627" customFormat="false" ht="15" hidden="false" customHeight="false" outlineLevel="0" collapsed="false">
      <c r="A627" s="3" t="s">
        <v>991</v>
      </c>
      <c r="B627" s="3" t="s">
        <v>688</v>
      </c>
      <c r="C627" s="3" t="s">
        <v>45</v>
      </c>
      <c r="D627" s="3" t="s">
        <v>12</v>
      </c>
      <c r="E627" s="3" t="s">
        <v>56</v>
      </c>
      <c r="F627" s="3" t="s">
        <v>24</v>
      </c>
      <c r="G627" s="3" t="n">
        <v>11</v>
      </c>
      <c r="H627" s="3" t="n">
        <v>499</v>
      </c>
    </row>
    <row r="628" customFormat="false" ht="15" hidden="false" customHeight="false" outlineLevel="0" collapsed="false">
      <c r="A628" s="3" t="s">
        <v>992</v>
      </c>
      <c r="B628" s="3" t="s">
        <v>655</v>
      </c>
      <c r="C628" s="3" t="s">
        <v>38</v>
      </c>
      <c r="D628" s="3" t="s">
        <v>32</v>
      </c>
      <c r="E628" s="3" t="s">
        <v>23</v>
      </c>
      <c r="F628" s="3" t="s">
        <v>42</v>
      </c>
      <c r="G628" s="3" t="n">
        <v>14</v>
      </c>
      <c r="H628" s="3" t="n">
        <v>1999</v>
      </c>
    </row>
    <row r="629" customFormat="false" ht="15" hidden="false" customHeight="false" outlineLevel="0" collapsed="false">
      <c r="A629" s="3" t="s">
        <v>993</v>
      </c>
      <c r="B629" s="3" t="s">
        <v>660</v>
      </c>
      <c r="C629" s="3" t="s">
        <v>93</v>
      </c>
      <c r="D629" s="3" t="s">
        <v>12</v>
      </c>
      <c r="E629" s="3" t="s">
        <v>56</v>
      </c>
      <c r="F629" s="3" t="s">
        <v>42</v>
      </c>
      <c r="G629" s="3" t="n">
        <v>7</v>
      </c>
      <c r="H629" s="3" t="n">
        <v>1299</v>
      </c>
    </row>
    <row r="630" customFormat="false" ht="15" hidden="false" customHeight="false" outlineLevel="0" collapsed="false">
      <c r="A630" s="3" t="s">
        <v>994</v>
      </c>
      <c r="B630" s="3" t="s">
        <v>995</v>
      </c>
      <c r="C630" s="3" t="s">
        <v>45</v>
      </c>
      <c r="D630" s="3" t="s">
        <v>12</v>
      </c>
      <c r="E630" s="3" t="s">
        <v>41</v>
      </c>
      <c r="F630" s="3" t="s">
        <v>42</v>
      </c>
      <c r="G630" s="3" t="n">
        <v>13</v>
      </c>
      <c r="H630" s="3" t="n">
        <v>499</v>
      </c>
    </row>
    <row r="631" customFormat="false" ht="15" hidden="false" customHeight="false" outlineLevel="0" collapsed="false">
      <c r="A631" s="3" t="s">
        <v>996</v>
      </c>
      <c r="B631" s="3" t="s">
        <v>751</v>
      </c>
      <c r="C631" s="3" t="s">
        <v>38</v>
      </c>
      <c r="D631" s="3" t="s">
        <v>32</v>
      </c>
      <c r="E631" s="3" t="s">
        <v>23</v>
      </c>
      <c r="F631" s="3" t="s">
        <v>28</v>
      </c>
      <c r="G631" s="3" t="n">
        <v>10</v>
      </c>
      <c r="H631" s="3" t="n">
        <v>1999</v>
      </c>
    </row>
    <row r="632" customFormat="false" ht="15" hidden="false" customHeight="false" outlineLevel="0" collapsed="false">
      <c r="A632" s="3" t="s">
        <v>997</v>
      </c>
      <c r="B632" s="3" t="s">
        <v>20</v>
      </c>
      <c r="C632" s="3" t="s">
        <v>21</v>
      </c>
      <c r="D632" s="3" t="s">
        <v>22</v>
      </c>
      <c r="E632" s="3" t="s">
        <v>609</v>
      </c>
      <c r="F632" s="3" t="s">
        <v>35</v>
      </c>
      <c r="G632" s="3" t="n">
        <v>7</v>
      </c>
      <c r="H632" s="3" t="n">
        <v>699</v>
      </c>
    </row>
    <row r="633" customFormat="false" ht="15" hidden="false" customHeight="false" outlineLevel="0" collapsed="false">
      <c r="A633" s="3" t="s">
        <v>998</v>
      </c>
      <c r="B633" s="3" t="s">
        <v>302</v>
      </c>
      <c r="C633" s="3" t="s">
        <v>21</v>
      </c>
      <c r="D633" s="3" t="s">
        <v>22</v>
      </c>
      <c r="E633" s="3" t="s">
        <v>13</v>
      </c>
      <c r="F633" s="3" t="s">
        <v>28</v>
      </c>
      <c r="G633" s="3" t="n">
        <v>7</v>
      </c>
      <c r="H633" s="3" t="n">
        <v>699</v>
      </c>
    </row>
    <row r="634" customFormat="false" ht="15" hidden="false" customHeight="false" outlineLevel="0" collapsed="false">
      <c r="A634" s="3" t="s">
        <v>999</v>
      </c>
      <c r="B634" s="3" t="s">
        <v>370</v>
      </c>
      <c r="C634" s="3" t="s">
        <v>75</v>
      </c>
      <c r="D634" s="3" t="s">
        <v>32</v>
      </c>
      <c r="E634" s="3" t="s">
        <v>56</v>
      </c>
      <c r="F634" s="3" t="s">
        <v>42</v>
      </c>
      <c r="G634" s="3" t="n">
        <v>7</v>
      </c>
      <c r="H634" s="3" t="n">
        <v>8999</v>
      </c>
    </row>
    <row r="635" customFormat="false" ht="15" hidden="false" customHeight="false" outlineLevel="0" collapsed="false">
      <c r="A635" s="3" t="s">
        <v>1000</v>
      </c>
      <c r="B635" s="3" t="s">
        <v>251</v>
      </c>
      <c r="C635" s="3" t="s">
        <v>38</v>
      </c>
      <c r="D635" s="3" t="s">
        <v>32</v>
      </c>
      <c r="E635" s="3" t="s">
        <v>23</v>
      </c>
      <c r="F635" s="3" t="s">
        <v>28</v>
      </c>
      <c r="G635" s="3" t="n">
        <v>14</v>
      </c>
      <c r="H635" s="3" t="n">
        <v>1999</v>
      </c>
    </row>
    <row r="636" customFormat="false" ht="15" hidden="false" customHeight="false" outlineLevel="0" collapsed="false">
      <c r="A636" s="3" t="s">
        <v>1001</v>
      </c>
      <c r="B636" s="3" t="s">
        <v>967</v>
      </c>
      <c r="C636" s="3" t="s">
        <v>93</v>
      </c>
      <c r="D636" s="3" t="s">
        <v>12</v>
      </c>
      <c r="E636" s="3" t="s">
        <v>41</v>
      </c>
      <c r="F636" s="3" t="s">
        <v>18</v>
      </c>
      <c r="G636" s="3" t="n">
        <v>4</v>
      </c>
      <c r="H636" s="3" t="n">
        <v>1299</v>
      </c>
    </row>
    <row r="637" customFormat="false" ht="15" hidden="false" customHeight="false" outlineLevel="0" collapsed="false">
      <c r="A637" s="3" t="s">
        <v>1002</v>
      </c>
      <c r="B637" s="3" t="s">
        <v>268</v>
      </c>
      <c r="C637" s="3" t="s">
        <v>45</v>
      </c>
      <c r="D637" s="3" t="s">
        <v>12</v>
      </c>
      <c r="E637" s="3" t="s">
        <v>41</v>
      </c>
      <c r="F637" s="3" t="s">
        <v>24</v>
      </c>
      <c r="G637" s="3" t="n">
        <v>1</v>
      </c>
      <c r="H637" s="3" t="n">
        <v>499</v>
      </c>
    </row>
    <row r="638" customFormat="false" ht="15" hidden="false" customHeight="false" outlineLevel="0" collapsed="false">
      <c r="A638" s="3" t="s">
        <v>1003</v>
      </c>
      <c r="B638" s="3" t="s">
        <v>139</v>
      </c>
      <c r="C638" s="3" t="s">
        <v>21</v>
      </c>
      <c r="D638" s="3" t="s">
        <v>22</v>
      </c>
      <c r="E638" s="3" t="s">
        <v>13</v>
      </c>
      <c r="F638" s="3" t="s">
        <v>28</v>
      </c>
      <c r="G638" s="3" t="n">
        <v>5</v>
      </c>
      <c r="H638" s="3" t="n">
        <v>699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90"/>
    <col collapsed="false" customWidth="true" hidden="false" outlineLevel="0" max="4" min="4" style="0" width="14"/>
  </cols>
  <sheetData>
    <row r="2" customFormat="false" ht="19.7" hidden="false" customHeight="false" outlineLevel="0" collapsed="false">
      <c r="B2" s="5" t="s">
        <v>1004</v>
      </c>
    </row>
    <row r="3" customFormat="false" ht="15" hidden="false" customHeight="false" outlineLevel="0" collapsed="false">
      <c r="B3" s="6" t="s">
        <v>1005</v>
      </c>
    </row>
    <row r="5" customFormat="false" ht="15" hidden="false" customHeight="false" outlineLevel="0" collapsed="false">
      <c r="B5" s="2" t="s">
        <v>1006</v>
      </c>
      <c r="C5" s="2" t="s">
        <v>1007</v>
      </c>
    </row>
    <row r="6" customFormat="false" ht="15" hidden="false" customHeight="false" outlineLevel="0" collapsed="false">
      <c r="B6" s="3" t="n">
        <v>1</v>
      </c>
      <c r="C6" s="7" t="s">
        <v>1008</v>
      </c>
    </row>
    <row r="7" customFormat="false" ht="15" hidden="false" customHeight="false" outlineLevel="0" collapsed="false">
      <c r="B7" s="3" t="n">
        <v>2</v>
      </c>
      <c r="C7" s="7" t="s">
        <v>1009</v>
      </c>
    </row>
    <row r="8" customFormat="false" ht="15" hidden="false" customHeight="false" outlineLevel="0" collapsed="false">
      <c r="B8" s="3" t="n">
        <v>3</v>
      </c>
      <c r="C8" s="7" t="s">
        <v>1010</v>
      </c>
    </row>
    <row r="9" customFormat="false" ht="15" hidden="false" customHeight="false" outlineLevel="0" collapsed="false">
      <c r="B9" s="3" t="n">
        <v>4</v>
      </c>
      <c r="C9" s="7" t="s">
        <v>1011</v>
      </c>
    </row>
    <row r="10" customFormat="false" ht="15" hidden="false" customHeight="false" outlineLevel="0" collapsed="false">
      <c r="B10" s="3" t="n">
        <v>5</v>
      </c>
      <c r="C10" s="7" t="s">
        <v>1012</v>
      </c>
    </row>
    <row r="11" customFormat="false" ht="15" hidden="false" customHeight="false" outlineLevel="0" collapsed="false">
      <c r="B11" s="3" t="n">
        <v>6</v>
      </c>
      <c r="C11" s="7" t="s">
        <v>1013</v>
      </c>
    </row>
    <row r="12" customFormat="false" ht="15" hidden="false" customHeight="false" outlineLevel="0" collapsed="false">
      <c r="B12" s="3" t="n">
        <v>7</v>
      </c>
      <c r="C12" s="7" t="s">
        <v>1014</v>
      </c>
    </row>
    <row r="13" customFormat="false" ht="15" hidden="false" customHeight="false" outlineLevel="0" collapsed="false">
      <c r="B13" s="3" t="n">
        <v>8</v>
      </c>
      <c r="C13" s="7" t="s">
        <v>1015</v>
      </c>
    </row>
    <row r="14" customFormat="false" ht="15" hidden="false" customHeight="false" outlineLevel="0" collapsed="false">
      <c r="B14" s="3" t="n">
        <v>9</v>
      </c>
      <c r="C14" s="7" t="s">
        <v>1016</v>
      </c>
    </row>
    <row r="17" customFormat="false" ht="15" hidden="false" customHeight="false" outlineLevel="0" collapsed="false">
      <c r="B17" s="8" t="s">
        <v>1017</v>
      </c>
    </row>
    <row r="18" customFormat="false" ht="15" hidden="false" customHeight="false" outlineLevel="0" collapsed="false">
      <c r="B18" s="2" t="s">
        <v>1018</v>
      </c>
      <c r="C18" s="2" t="s">
        <v>1019</v>
      </c>
      <c r="D18" s="2" t="s">
        <v>1020</v>
      </c>
    </row>
    <row r="19" customFormat="false" ht="15" hidden="false" customHeight="false" outlineLevel="0" collapsed="false">
      <c r="B19" s="3" t="s">
        <v>1021</v>
      </c>
      <c r="C19" s="9" t="n">
        <v>635</v>
      </c>
      <c r="D19" s="10" t="n">
        <v>620</v>
      </c>
    </row>
    <row r="20" customFormat="false" ht="15" hidden="false" customHeight="false" outlineLevel="0" collapsed="false">
      <c r="B20" s="3" t="s">
        <v>1022</v>
      </c>
      <c r="C20" s="9" t="n">
        <v>18</v>
      </c>
      <c r="D20" s="10" t="n">
        <v>0</v>
      </c>
    </row>
    <row r="21" customFormat="false" ht="15" hidden="false" customHeight="false" outlineLevel="0" collapsed="false">
      <c r="B21" s="3" t="s">
        <v>1023</v>
      </c>
      <c r="C21" s="9" t="n">
        <v>12</v>
      </c>
      <c r="D21" s="10" t="n">
        <v>0</v>
      </c>
    </row>
    <row r="22" customFormat="false" ht="15" hidden="false" customHeight="false" outlineLevel="0" collapsed="false">
      <c r="B22" s="3" t="s">
        <v>1024</v>
      </c>
      <c r="C22" s="9" t="n">
        <v>8</v>
      </c>
      <c r="D22" s="10" t="n">
        <v>0</v>
      </c>
    </row>
    <row r="23" customFormat="false" ht="15" hidden="false" customHeight="false" outlineLevel="0" collapsed="false">
      <c r="B23" s="3" t="s">
        <v>1025</v>
      </c>
      <c r="C23" s="9" t="n">
        <v>15</v>
      </c>
      <c r="D23" s="10" t="n">
        <v>0</v>
      </c>
    </row>
    <row r="24" customFormat="false" ht="15" hidden="false" customHeight="false" outlineLevel="0" collapsed="false">
      <c r="B24" s="3" t="s">
        <v>1026</v>
      </c>
      <c r="C24" s="9" t="n">
        <v>6</v>
      </c>
      <c r="D24" s="1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1027</v>
      </c>
    </row>
    <row r="2" customFormat="false" ht="15" hidden="false" customHeight="false" outlineLevel="0" collapsed="false">
      <c r="A2" s="3" t="s">
        <v>977</v>
      </c>
      <c r="B2" s="3" t="s">
        <v>1028</v>
      </c>
      <c r="C2" s="3" t="s">
        <v>45</v>
      </c>
      <c r="D2" s="3" t="s">
        <v>12</v>
      </c>
      <c r="E2" s="3" t="s">
        <v>41</v>
      </c>
      <c r="F2" s="3" t="s">
        <v>24</v>
      </c>
      <c r="G2" s="3" t="n">
        <v>8</v>
      </c>
      <c r="H2" s="3" t="n">
        <v>499</v>
      </c>
      <c r="I2" s="3" t="n">
        <f aca="false">G2*H2</f>
        <v>3992</v>
      </c>
    </row>
    <row r="3" customFormat="false" ht="15" hidden="false" customHeight="false" outlineLevel="0" collapsed="false">
      <c r="A3" s="3" t="s">
        <v>730</v>
      </c>
      <c r="B3" s="3" t="s">
        <v>1028</v>
      </c>
      <c r="C3" s="3" t="s">
        <v>93</v>
      </c>
      <c r="D3" s="3" t="s">
        <v>12</v>
      </c>
      <c r="E3" s="3" t="s">
        <v>23</v>
      </c>
      <c r="F3" s="3" t="s">
        <v>28</v>
      </c>
      <c r="G3" s="3" t="n">
        <v>3</v>
      </c>
      <c r="H3" s="3" t="n">
        <v>1299</v>
      </c>
      <c r="I3" s="3" t="n">
        <f aca="false">G3*H3</f>
        <v>3897</v>
      </c>
    </row>
    <row r="4" customFormat="false" ht="15" hidden="false" customHeight="false" outlineLevel="0" collapsed="false">
      <c r="A4" s="3" t="s">
        <v>742</v>
      </c>
      <c r="B4" s="3" t="s">
        <v>1028</v>
      </c>
      <c r="C4" s="3" t="s">
        <v>55</v>
      </c>
      <c r="D4" s="3" t="s">
        <v>12</v>
      </c>
      <c r="E4" s="3" t="s">
        <v>56</v>
      </c>
      <c r="F4" s="3" t="s">
        <v>42</v>
      </c>
      <c r="G4" s="3" t="n">
        <v>12</v>
      </c>
      <c r="H4" s="3" t="n">
        <v>299</v>
      </c>
      <c r="I4" s="3" t="n">
        <f aca="false">G4*H4</f>
        <v>3588</v>
      </c>
    </row>
    <row r="5" customFormat="false" ht="15" hidden="false" customHeight="false" outlineLevel="0" collapsed="false">
      <c r="A5" s="3" t="s">
        <v>292</v>
      </c>
      <c r="B5" s="3" t="s">
        <v>1028</v>
      </c>
      <c r="C5" s="3" t="s">
        <v>75</v>
      </c>
      <c r="D5" s="3" t="s">
        <v>32</v>
      </c>
      <c r="E5" s="3" t="s">
        <v>41</v>
      </c>
      <c r="F5" s="3" t="s">
        <v>24</v>
      </c>
      <c r="G5" s="3" t="n">
        <v>13</v>
      </c>
      <c r="H5" s="3" t="n">
        <v>8999</v>
      </c>
      <c r="I5" s="3" t="n">
        <f aca="false">G5*H5</f>
        <v>116987</v>
      </c>
    </row>
    <row r="6" customFormat="false" ht="15" hidden="false" customHeight="false" outlineLevel="0" collapsed="false">
      <c r="A6" s="3" t="s">
        <v>385</v>
      </c>
      <c r="B6" s="3" t="s">
        <v>1028</v>
      </c>
      <c r="C6" s="3" t="s">
        <v>45</v>
      </c>
      <c r="D6" s="3" t="s">
        <v>12</v>
      </c>
      <c r="E6" s="3" t="s">
        <v>23</v>
      </c>
      <c r="F6" s="3" t="s">
        <v>42</v>
      </c>
      <c r="G6" s="3" t="n">
        <v>3</v>
      </c>
      <c r="H6" s="3" t="n">
        <v>499</v>
      </c>
      <c r="I6" s="3" t="n">
        <f aca="false">G6*H6</f>
        <v>1497</v>
      </c>
    </row>
    <row r="7" customFormat="false" ht="15" hidden="false" customHeight="false" outlineLevel="0" collapsed="false">
      <c r="A7" s="3" t="s">
        <v>935</v>
      </c>
      <c r="B7" s="3" t="s">
        <v>1028</v>
      </c>
      <c r="C7" s="3" t="s">
        <v>105</v>
      </c>
      <c r="D7" s="3" t="s">
        <v>32</v>
      </c>
      <c r="E7" s="3" t="s">
        <v>41</v>
      </c>
      <c r="F7" s="3" t="s">
        <v>28</v>
      </c>
      <c r="G7" s="3" t="n">
        <v>7</v>
      </c>
      <c r="H7" s="3" t="n">
        <v>1799</v>
      </c>
      <c r="I7" s="3" t="n">
        <f aca="false">G7*H7</f>
        <v>12593</v>
      </c>
    </row>
    <row r="8" customFormat="false" ht="15" hidden="false" customHeight="false" outlineLevel="0" collapsed="false">
      <c r="A8" s="3" t="s">
        <v>536</v>
      </c>
      <c r="B8" s="3" t="s">
        <v>1029</v>
      </c>
      <c r="C8" s="3" t="s">
        <v>38</v>
      </c>
      <c r="D8" s="3" t="s">
        <v>32</v>
      </c>
      <c r="E8" s="3" t="s">
        <v>56</v>
      </c>
      <c r="F8" s="3" t="s">
        <v>35</v>
      </c>
      <c r="G8" s="3" t="n">
        <v>8</v>
      </c>
      <c r="H8" s="3" t="n">
        <v>1999</v>
      </c>
      <c r="I8" s="3" t="n">
        <f aca="false">G8*H8</f>
        <v>15992</v>
      </c>
    </row>
    <row r="9" customFormat="false" ht="15" hidden="false" customHeight="false" outlineLevel="0" collapsed="false">
      <c r="A9" s="3" t="s">
        <v>527</v>
      </c>
      <c r="B9" s="3" t="s">
        <v>1029</v>
      </c>
      <c r="C9" s="3" t="s">
        <v>55</v>
      </c>
      <c r="D9" s="3" t="s">
        <v>12</v>
      </c>
      <c r="E9" s="3" t="s">
        <v>23</v>
      </c>
      <c r="F9" s="3" t="s">
        <v>28</v>
      </c>
      <c r="G9" s="3" t="n">
        <v>9</v>
      </c>
      <c r="H9" s="3" t="n">
        <v>299</v>
      </c>
      <c r="I9" s="3" t="n">
        <f aca="false">G9*H9</f>
        <v>2691</v>
      </c>
    </row>
    <row r="10" customFormat="false" ht="15" hidden="false" customHeight="false" outlineLevel="0" collapsed="false">
      <c r="A10" s="3" t="s">
        <v>130</v>
      </c>
      <c r="B10" s="3" t="s">
        <v>1029</v>
      </c>
      <c r="C10" s="3" t="s">
        <v>93</v>
      </c>
      <c r="D10" s="3" t="s">
        <v>12</v>
      </c>
      <c r="E10" s="3" t="s">
        <v>41</v>
      </c>
      <c r="F10" s="3" t="s">
        <v>35</v>
      </c>
      <c r="G10" s="3" t="n">
        <v>1</v>
      </c>
      <c r="H10" s="3" t="n">
        <v>1299</v>
      </c>
      <c r="I10" s="3" t="n">
        <f aca="false">G10*H10</f>
        <v>1299</v>
      </c>
    </row>
    <row r="11" customFormat="false" ht="15" hidden="false" customHeight="false" outlineLevel="0" collapsed="false">
      <c r="A11" s="3" t="s">
        <v>657</v>
      </c>
      <c r="B11" s="3" t="s">
        <v>1030</v>
      </c>
      <c r="C11" s="3" t="s">
        <v>55</v>
      </c>
      <c r="D11" s="3" t="s">
        <v>12</v>
      </c>
      <c r="E11" s="3" t="s">
        <v>23</v>
      </c>
      <c r="F11" s="3" t="s">
        <v>24</v>
      </c>
      <c r="G11" s="3" t="n">
        <v>6</v>
      </c>
      <c r="H11" s="3" t="n">
        <v>299</v>
      </c>
      <c r="I11" s="3" t="n">
        <f aca="false">G11*H11</f>
        <v>1794</v>
      </c>
    </row>
    <row r="12" customFormat="false" ht="15" hidden="false" customHeight="false" outlineLevel="0" collapsed="false">
      <c r="A12" s="3" t="s">
        <v>838</v>
      </c>
      <c r="B12" s="3" t="s">
        <v>1030</v>
      </c>
      <c r="C12" s="3" t="s">
        <v>27</v>
      </c>
      <c r="D12" s="3" t="s">
        <v>22</v>
      </c>
      <c r="E12" s="3" t="s">
        <v>23</v>
      </c>
      <c r="F12" s="3" t="s">
        <v>24</v>
      </c>
      <c r="G12" s="3" t="n">
        <v>12</v>
      </c>
      <c r="H12" s="3" t="n">
        <v>899</v>
      </c>
      <c r="I12" s="3" t="n">
        <f aca="false">G12*H12</f>
        <v>10788</v>
      </c>
    </row>
    <row r="13" customFormat="false" ht="15" hidden="false" customHeight="false" outlineLevel="0" collapsed="false">
      <c r="A13" s="3" t="s">
        <v>940</v>
      </c>
      <c r="B13" s="3" t="s">
        <v>1031</v>
      </c>
      <c r="C13" s="3" t="s">
        <v>16</v>
      </c>
      <c r="D13" s="3" t="s">
        <v>12</v>
      </c>
      <c r="E13" s="3" t="s">
        <v>41</v>
      </c>
      <c r="F13" s="3" t="s">
        <v>18</v>
      </c>
      <c r="G13" s="3" t="n">
        <v>10</v>
      </c>
      <c r="H13" s="3" t="n">
        <v>2499</v>
      </c>
      <c r="I13" s="3" t="n">
        <f aca="false">G13*H13</f>
        <v>24990</v>
      </c>
    </row>
    <row r="14" customFormat="false" ht="15" hidden="false" customHeight="false" outlineLevel="0" collapsed="false">
      <c r="A14" s="3" t="s">
        <v>51</v>
      </c>
      <c r="B14" s="3" t="s">
        <v>1031</v>
      </c>
      <c r="C14" s="3" t="s">
        <v>45</v>
      </c>
      <c r="D14" s="3" t="s">
        <v>12</v>
      </c>
      <c r="E14" s="3" t="s">
        <v>13</v>
      </c>
      <c r="F14" s="3" t="s">
        <v>28</v>
      </c>
      <c r="G14" s="3" t="n">
        <v>10</v>
      </c>
      <c r="H14" s="3" t="n">
        <v>499</v>
      </c>
      <c r="I14" s="3" t="n">
        <f aca="false">G14*H14</f>
        <v>4990</v>
      </c>
    </row>
    <row r="15" customFormat="false" ht="15" hidden="false" customHeight="false" outlineLevel="0" collapsed="false">
      <c r="A15" s="3" t="s">
        <v>413</v>
      </c>
      <c r="B15" s="3" t="s">
        <v>1031</v>
      </c>
      <c r="C15" s="3" t="s">
        <v>105</v>
      </c>
      <c r="D15" s="3" t="s">
        <v>32</v>
      </c>
      <c r="E15" s="3" t="s">
        <v>56</v>
      </c>
      <c r="F15" s="3" t="s">
        <v>28</v>
      </c>
      <c r="G15" s="3" t="n">
        <v>12</v>
      </c>
      <c r="H15" s="3" t="n">
        <v>1799</v>
      </c>
      <c r="I15" s="3" t="n">
        <f aca="false">G15*H15</f>
        <v>21588</v>
      </c>
    </row>
    <row r="16" customFormat="false" ht="15" hidden="false" customHeight="false" outlineLevel="0" collapsed="false">
      <c r="A16" s="3" t="s">
        <v>825</v>
      </c>
      <c r="B16" s="3" t="s">
        <v>1032</v>
      </c>
      <c r="C16" s="3" t="s">
        <v>105</v>
      </c>
      <c r="D16" s="3" t="s">
        <v>32</v>
      </c>
      <c r="E16" s="3" t="s">
        <v>56</v>
      </c>
      <c r="F16" s="3" t="s">
        <v>28</v>
      </c>
      <c r="G16" s="3" t="n">
        <v>12</v>
      </c>
      <c r="H16" s="3" t="n">
        <v>1799</v>
      </c>
      <c r="I16" s="3" t="n">
        <f aca="false">G16*H16</f>
        <v>21588</v>
      </c>
    </row>
    <row r="17" customFormat="false" ht="15" hidden="false" customHeight="false" outlineLevel="0" collapsed="false">
      <c r="A17" s="3" t="s">
        <v>94</v>
      </c>
      <c r="B17" s="3" t="s">
        <v>1032</v>
      </c>
      <c r="C17" s="3" t="s">
        <v>93</v>
      </c>
      <c r="D17" s="3" t="s">
        <v>12</v>
      </c>
      <c r="E17" s="3" t="s">
        <v>41</v>
      </c>
      <c r="F17" s="3" t="s">
        <v>42</v>
      </c>
      <c r="G17" s="3" t="n">
        <v>5</v>
      </c>
      <c r="H17" s="3" t="n">
        <v>1299</v>
      </c>
      <c r="I17" s="3" t="n">
        <f aca="false">G17*H17</f>
        <v>6495</v>
      </c>
    </row>
    <row r="18" customFormat="false" ht="15" hidden="false" customHeight="false" outlineLevel="0" collapsed="false">
      <c r="A18" s="3" t="s">
        <v>938</v>
      </c>
      <c r="B18" s="3" t="s">
        <v>1033</v>
      </c>
      <c r="C18" s="3" t="s">
        <v>93</v>
      </c>
      <c r="D18" s="3" t="s">
        <v>12</v>
      </c>
      <c r="E18" s="3" t="s">
        <v>13</v>
      </c>
      <c r="F18" s="3" t="s">
        <v>42</v>
      </c>
      <c r="G18" s="3" t="n">
        <v>11</v>
      </c>
      <c r="H18" s="3" t="n">
        <v>1299</v>
      </c>
      <c r="I18" s="3" t="n">
        <f aca="false">G18*H18</f>
        <v>14289</v>
      </c>
    </row>
    <row r="19" customFormat="false" ht="15" hidden="false" customHeight="false" outlineLevel="0" collapsed="false">
      <c r="A19" s="3" t="s">
        <v>333</v>
      </c>
      <c r="B19" s="3" t="s">
        <v>1033</v>
      </c>
      <c r="C19" s="3" t="s">
        <v>16</v>
      </c>
      <c r="D19" s="3" t="s">
        <v>12</v>
      </c>
      <c r="E19" s="3" t="s">
        <v>13</v>
      </c>
      <c r="F19" s="3" t="s">
        <v>42</v>
      </c>
      <c r="G19" s="3" t="n">
        <v>3</v>
      </c>
      <c r="H19" s="3" t="n">
        <v>2499</v>
      </c>
      <c r="I19" s="3" t="n">
        <f aca="false">G19*H19</f>
        <v>7497</v>
      </c>
    </row>
    <row r="20" customFormat="false" ht="15" hidden="false" customHeight="false" outlineLevel="0" collapsed="false">
      <c r="A20" s="3" t="s">
        <v>975</v>
      </c>
      <c r="B20" s="3" t="s">
        <v>1034</v>
      </c>
      <c r="C20" s="3" t="s">
        <v>16</v>
      </c>
      <c r="D20" s="3" t="s">
        <v>12</v>
      </c>
      <c r="E20" s="3" t="s">
        <v>56</v>
      </c>
      <c r="F20" s="3" t="s">
        <v>35</v>
      </c>
      <c r="G20" s="3" t="n">
        <v>12</v>
      </c>
      <c r="H20" s="3" t="n">
        <v>2499</v>
      </c>
      <c r="I20" s="3" t="n">
        <f aca="false">G20*H20</f>
        <v>29988</v>
      </c>
    </row>
    <row r="21" customFormat="false" ht="15" hidden="false" customHeight="false" outlineLevel="0" collapsed="false">
      <c r="A21" s="3" t="s">
        <v>455</v>
      </c>
      <c r="B21" s="3" t="s">
        <v>1035</v>
      </c>
      <c r="C21" s="3" t="s">
        <v>93</v>
      </c>
      <c r="D21" s="3" t="s">
        <v>12</v>
      </c>
      <c r="E21" s="3" t="s">
        <v>23</v>
      </c>
      <c r="F21" s="3" t="s">
        <v>35</v>
      </c>
      <c r="G21" s="3" t="n">
        <v>2</v>
      </c>
      <c r="H21" s="3" t="n">
        <v>1299</v>
      </c>
      <c r="I21" s="3" t="n">
        <f aca="false">G21*H21</f>
        <v>2598</v>
      </c>
    </row>
    <row r="22" customFormat="false" ht="15" hidden="false" customHeight="false" outlineLevel="0" collapsed="false">
      <c r="A22" s="3" t="s">
        <v>974</v>
      </c>
      <c r="B22" s="3" t="s">
        <v>1036</v>
      </c>
      <c r="C22" s="3" t="s">
        <v>16</v>
      </c>
      <c r="D22" s="3" t="s">
        <v>12</v>
      </c>
      <c r="E22" s="3" t="s">
        <v>13</v>
      </c>
      <c r="F22" s="3" t="s">
        <v>42</v>
      </c>
      <c r="G22" s="3" t="n">
        <v>10</v>
      </c>
      <c r="H22" s="3" t="n">
        <v>2499</v>
      </c>
      <c r="I22" s="3" t="n">
        <f aca="false">G22*H22</f>
        <v>24990</v>
      </c>
    </row>
    <row r="23" customFormat="false" ht="15" hidden="false" customHeight="false" outlineLevel="0" collapsed="false">
      <c r="A23" s="3" t="s">
        <v>25</v>
      </c>
      <c r="B23" s="3" t="s">
        <v>1036</v>
      </c>
      <c r="C23" s="3" t="s">
        <v>27</v>
      </c>
      <c r="D23" s="3" t="s">
        <v>22</v>
      </c>
      <c r="E23" s="3" t="s">
        <v>23</v>
      </c>
      <c r="F23" s="3" t="s">
        <v>28</v>
      </c>
      <c r="G23" s="3" t="n">
        <v>8</v>
      </c>
      <c r="H23" s="3" t="n">
        <v>899</v>
      </c>
      <c r="I23" s="3" t="n">
        <f aca="false">G23*H23</f>
        <v>7192</v>
      </c>
    </row>
    <row r="24" customFormat="false" ht="15" hidden="false" customHeight="false" outlineLevel="0" collapsed="false">
      <c r="A24" s="3" t="s">
        <v>632</v>
      </c>
      <c r="B24" s="3" t="s">
        <v>1036</v>
      </c>
      <c r="C24" s="3" t="s">
        <v>55</v>
      </c>
      <c r="D24" s="3" t="s">
        <v>12</v>
      </c>
      <c r="E24" s="3" t="s">
        <v>56</v>
      </c>
      <c r="F24" s="3" t="s">
        <v>28</v>
      </c>
      <c r="G24" s="3" t="n">
        <v>2</v>
      </c>
      <c r="H24" s="3" t="n">
        <v>299</v>
      </c>
      <c r="I24" s="3" t="n">
        <f aca="false">G24*H24</f>
        <v>598</v>
      </c>
    </row>
    <row r="25" customFormat="false" ht="15" hidden="false" customHeight="false" outlineLevel="0" collapsed="false">
      <c r="A25" s="3" t="s">
        <v>673</v>
      </c>
      <c r="B25" s="3" t="s">
        <v>1036</v>
      </c>
      <c r="C25" s="3" t="s">
        <v>16</v>
      </c>
      <c r="D25" s="3" t="s">
        <v>12</v>
      </c>
      <c r="E25" s="3" t="s">
        <v>41</v>
      </c>
      <c r="F25" s="3" t="s">
        <v>35</v>
      </c>
      <c r="G25" s="3" t="n">
        <v>5</v>
      </c>
      <c r="H25" s="3" t="n">
        <v>2499</v>
      </c>
      <c r="I25" s="3" t="n">
        <f aca="false">G25*H25</f>
        <v>12495</v>
      </c>
    </row>
    <row r="26" customFormat="false" ht="15" hidden="false" customHeight="false" outlineLevel="0" collapsed="false">
      <c r="A26" s="3" t="s">
        <v>559</v>
      </c>
      <c r="B26" s="3" t="s">
        <v>1037</v>
      </c>
      <c r="C26" s="3" t="s">
        <v>27</v>
      </c>
      <c r="D26" s="3" t="s">
        <v>22</v>
      </c>
      <c r="E26" s="3" t="s">
        <v>41</v>
      </c>
      <c r="F26" s="3" t="s">
        <v>42</v>
      </c>
      <c r="G26" s="3" t="n">
        <v>14</v>
      </c>
      <c r="H26" s="3" t="n">
        <v>899</v>
      </c>
      <c r="I26" s="3" t="n">
        <f aca="false">G26*H26</f>
        <v>12586</v>
      </c>
    </row>
    <row r="27" customFormat="false" ht="15" hidden="false" customHeight="false" outlineLevel="0" collapsed="false">
      <c r="A27" s="3" t="s">
        <v>599</v>
      </c>
      <c r="B27" s="3" t="s">
        <v>1037</v>
      </c>
      <c r="C27" s="3" t="s">
        <v>105</v>
      </c>
      <c r="D27" s="3" t="s">
        <v>32</v>
      </c>
      <c r="E27" s="3" t="s">
        <v>41</v>
      </c>
      <c r="F27" s="3" t="s">
        <v>18</v>
      </c>
      <c r="G27" s="3" t="n">
        <v>5</v>
      </c>
      <c r="H27" s="3" t="n">
        <v>1799</v>
      </c>
      <c r="I27" s="3" t="n">
        <f aca="false">G27*H27</f>
        <v>8995</v>
      </c>
    </row>
    <row r="28" customFormat="false" ht="15" hidden="false" customHeight="false" outlineLevel="0" collapsed="false">
      <c r="A28" s="3" t="s">
        <v>871</v>
      </c>
      <c r="B28" s="3" t="s">
        <v>1038</v>
      </c>
      <c r="C28" s="3" t="s">
        <v>45</v>
      </c>
      <c r="D28" s="3" t="s">
        <v>12</v>
      </c>
      <c r="E28" s="3" t="s">
        <v>41</v>
      </c>
      <c r="F28" s="3" t="s">
        <v>35</v>
      </c>
      <c r="G28" s="3" t="n">
        <v>3</v>
      </c>
      <c r="H28" s="3" t="n">
        <v>499</v>
      </c>
      <c r="I28" s="3" t="n">
        <f aca="false">G28*H28</f>
        <v>1497</v>
      </c>
    </row>
    <row r="29" customFormat="false" ht="15" hidden="false" customHeight="false" outlineLevel="0" collapsed="false">
      <c r="A29" s="3" t="s">
        <v>696</v>
      </c>
      <c r="B29" s="3" t="s">
        <v>1039</v>
      </c>
      <c r="C29" s="3" t="s">
        <v>27</v>
      </c>
      <c r="D29" s="3" t="s">
        <v>22</v>
      </c>
      <c r="E29" s="3" t="s">
        <v>13</v>
      </c>
      <c r="F29" s="3" t="s">
        <v>18</v>
      </c>
      <c r="G29" s="3" t="n">
        <v>10</v>
      </c>
      <c r="H29" s="3" t="n">
        <v>899</v>
      </c>
      <c r="I29" s="3" t="n">
        <f aca="false">G29*H29</f>
        <v>8990</v>
      </c>
    </row>
    <row r="30" customFormat="false" ht="15" hidden="false" customHeight="false" outlineLevel="0" collapsed="false">
      <c r="A30" s="3" t="s">
        <v>877</v>
      </c>
      <c r="B30" s="3" t="s">
        <v>1039</v>
      </c>
      <c r="C30" s="3" t="s">
        <v>31</v>
      </c>
      <c r="D30" s="3" t="s">
        <v>32</v>
      </c>
      <c r="E30" s="3" t="s">
        <v>13</v>
      </c>
      <c r="F30" s="3" t="s">
        <v>42</v>
      </c>
      <c r="G30" s="3" t="n">
        <v>7</v>
      </c>
      <c r="H30" s="3" t="n">
        <v>1499</v>
      </c>
      <c r="I30" s="3" t="n">
        <f aca="false">G30*H30</f>
        <v>10493</v>
      </c>
    </row>
    <row r="31" customFormat="false" ht="15" hidden="false" customHeight="false" outlineLevel="0" collapsed="false">
      <c r="A31" s="3" t="s">
        <v>644</v>
      </c>
      <c r="B31" s="3" t="s">
        <v>1040</v>
      </c>
      <c r="C31" s="3" t="s">
        <v>45</v>
      </c>
      <c r="D31" s="3" t="s">
        <v>12</v>
      </c>
      <c r="E31" s="3" t="s">
        <v>23</v>
      </c>
      <c r="F31" s="3" t="s">
        <v>35</v>
      </c>
      <c r="G31" s="3" t="n">
        <v>4</v>
      </c>
      <c r="H31" s="3" t="n">
        <v>499</v>
      </c>
      <c r="I31" s="3" t="n">
        <f aca="false">G31*H31</f>
        <v>1996</v>
      </c>
    </row>
    <row r="32" customFormat="false" ht="15" hidden="false" customHeight="false" outlineLevel="0" collapsed="false">
      <c r="A32" s="3" t="s">
        <v>9</v>
      </c>
      <c r="B32" s="3" t="s">
        <v>1040</v>
      </c>
      <c r="C32" s="3" t="s">
        <v>93</v>
      </c>
      <c r="D32" s="3" t="s">
        <v>12</v>
      </c>
      <c r="E32" s="3" t="s">
        <v>13</v>
      </c>
      <c r="F32" s="3" t="s">
        <v>1041</v>
      </c>
      <c r="G32" s="3" t="n">
        <v>14</v>
      </c>
      <c r="H32" s="3" t="n">
        <v>1299</v>
      </c>
      <c r="I32" s="3" t="n">
        <f aca="false">G32*H32</f>
        <v>18186</v>
      </c>
    </row>
    <row r="33" customFormat="false" ht="15" hidden="false" customHeight="false" outlineLevel="0" collapsed="false">
      <c r="A33" s="3" t="s">
        <v>249</v>
      </c>
      <c r="B33" s="3" t="s">
        <v>1042</v>
      </c>
      <c r="C33" s="3" t="s">
        <v>38</v>
      </c>
      <c r="D33" s="3" t="s">
        <v>32</v>
      </c>
      <c r="E33" s="3" t="s">
        <v>56</v>
      </c>
      <c r="F33" s="3" t="s">
        <v>24</v>
      </c>
      <c r="G33" s="3" t="n">
        <v>6</v>
      </c>
      <c r="H33" s="3" t="n">
        <v>1999</v>
      </c>
      <c r="I33" s="3" t="n">
        <f aca="false">G33*H33</f>
        <v>11994</v>
      </c>
    </row>
    <row r="34" customFormat="false" ht="15" hidden="false" customHeight="false" outlineLevel="0" collapsed="false">
      <c r="A34" s="3" t="s">
        <v>579</v>
      </c>
      <c r="B34" s="3" t="s">
        <v>1042</v>
      </c>
      <c r="C34" s="3" t="s">
        <v>16</v>
      </c>
      <c r="D34" s="3" t="s">
        <v>12</v>
      </c>
      <c r="E34" s="3" t="s">
        <v>56</v>
      </c>
      <c r="F34" s="3" t="s">
        <v>28</v>
      </c>
      <c r="G34" s="3" t="n">
        <v>7</v>
      </c>
      <c r="H34" s="3" t="n">
        <v>2499</v>
      </c>
      <c r="I34" s="3" t="n">
        <f aca="false">G34*H34</f>
        <v>17493</v>
      </c>
    </row>
    <row r="35" customFormat="false" ht="15" hidden="false" customHeight="false" outlineLevel="0" collapsed="false">
      <c r="A35" s="3" t="s">
        <v>109</v>
      </c>
      <c r="B35" s="3" t="s">
        <v>1042</v>
      </c>
      <c r="C35" s="3" t="s">
        <v>31</v>
      </c>
      <c r="D35" s="3" t="s">
        <v>32</v>
      </c>
      <c r="E35" s="3" t="s">
        <v>41</v>
      </c>
      <c r="F35" s="3" t="s">
        <v>42</v>
      </c>
      <c r="G35" s="3" t="n">
        <v>9</v>
      </c>
      <c r="H35" s="3" t="n">
        <v>1499</v>
      </c>
      <c r="I35" s="3" t="n">
        <f aca="false">G35*H35</f>
        <v>13491</v>
      </c>
    </row>
    <row r="36" customFormat="false" ht="15" hidden="false" customHeight="false" outlineLevel="0" collapsed="false">
      <c r="A36" s="3" t="s">
        <v>817</v>
      </c>
      <c r="B36" s="3" t="s">
        <v>1043</v>
      </c>
      <c r="C36" s="3" t="s">
        <v>31</v>
      </c>
      <c r="D36" s="3" t="s">
        <v>32</v>
      </c>
      <c r="E36" s="3" t="s">
        <v>56</v>
      </c>
      <c r="F36" s="3" t="s">
        <v>18</v>
      </c>
      <c r="G36" s="3" t="n">
        <v>6</v>
      </c>
      <c r="H36" s="3" t="n">
        <v>1499</v>
      </c>
      <c r="I36" s="3" t="n">
        <f aca="false">G36*H36</f>
        <v>8994</v>
      </c>
    </row>
    <row r="37" customFormat="false" ht="15" hidden="false" customHeight="false" outlineLevel="0" collapsed="false">
      <c r="A37" s="3" t="s">
        <v>408</v>
      </c>
      <c r="B37" s="3" t="s">
        <v>1043</v>
      </c>
      <c r="C37" s="3" t="s">
        <v>105</v>
      </c>
      <c r="D37" s="3" t="s">
        <v>32</v>
      </c>
      <c r="E37" s="3" t="s">
        <v>56</v>
      </c>
      <c r="F37" s="3" t="s">
        <v>28</v>
      </c>
      <c r="G37" s="3" t="n">
        <v>13</v>
      </c>
      <c r="H37" s="3" t="n">
        <v>1799</v>
      </c>
      <c r="I37" s="3" t="n">
        <f aca="false">G37*H37</f>
        <v>23387</v>
      </c>
    </row>
    <row r="38" customFormat="false" ht="15" hidden="false" customHeight="false" outlineLevel="0" collapsed="false">
      <c r="A38" s="3" t="s">
        <v>153</v>
      </c>
      <c r="B38" s="3" t="s">
        <v>1043</v>
      </c>
      <c r="C38" s="3" t="s">
        <v>75</v>
      </c>
      <c r="D38" s="3" t="s">
        <v>32</v>
      </c>
      <c r="E38" s="3" t="s">
        <v>23</v>
      </c>
      <c r="F38" s="3" t="s">
        <v>42</v>
      </c>
      <c r="G38" s="3" t="n">
        <v>7</v>
      </c>
      <c r="H38" s="3" t="n">
        <v>8999</v>
      </c>
      <c r="I38" s="3" t="n">
        <f aca="false">G38*H38</f>
        <v>62993</v>
      </c>
    </row>
    <row r="39" customFormat="false" ht="15" hidden="false" customHeight="false" outlineLevel="0" collapsed="false">
      <c r="A39" s="3" t="s">
        <v>665</v>
      </c>
      <c r="B39" s="3" t="s">
        <v>1044</v>
      </c>
      <c r="C39" s="3" t="s">
        <v>27</v>
      </c>
      <c r="D39" s="3" t="s">
        <v>22</v>
      </c>
      <c r="E39" s="3" t="s">
        <v>23</v>
      </c>
      <c r="F39" s="3" t="s">
        <v>18</v>
      </c>
      <c r="G39" s="3" t="n">
        <v>13</v>
      </c>
      <c r="H39" s="3" t="n">
        <v>899</v>
      </c>
      <c r="I39" s="3" t="n">
        <f aca="false">G39*H39</f>
        <v>11687</v>
      </c>
    </row>
    <row r="40" customFormat="false" ht="15" hidden="false" customHeight="false" outlineLevel="0" collapsed="false">
      <c r="A40" s="3" t="s">
        <v>926</v>
      </c>
      <c r="B40" s="3" t="s">
        <v>1045</v>
      </c>
      <c r="C40" s="3" t="s">
        <v>105</v>
      </c>
      <c r="D40" s="3" t="s">
        <v>32</v>
      </c>
      <c r="E40" s="3" t="s">
        <v>23</v>
      </c>
      <c r="F40" s="3" t="s">
        <v>24</v>
      </c>
      <c r="G40" s="3" t="n">
        <v>6</v>
      </c>
      <c r="H40" s="3" t="n">
        <v>1799</v>
      </c>
      <c r="I40" s="3" t="n">
        <f aca="false">G40*H40</f>
        <v>10794</v>
      </c>
    </row>
    <row r="41" customFormat="false" ht="15" hidden="false" customHeight="false" outlineLevel="0" collapsed="false">
      <c r="A41" s="3" t="s">
        <v>239</v>
      </c>
      <c r="B41" s="3" t="s">
        <v>1045</v>
      </c>
      <c r="C41" s="3" t="s">
        <v>55</v>
      </c>
      <c r="D41" s="3" t="s">
        <v>12</v>
      </c>
      <c r="E41" s="3" t="s">
        <v>56</v>
      </c>
      <c r="F41" s="3" t="s">
        <v>28</v>
      </c>
      <c r="G41" s="3" t="n">
        <v>3</v>
      </c>
      <c r="H41" s="3" t="n">
        <v>299</v>
      </c>
      <c r="I41" s="3" t="n">
        <f aca="false">G41*H41</f>
        <v>897</v>
      </c>
    </row>
    <row r="42" customFormat="false" ht="15" hidden="false" customHeight="false" outlineLevel="0" collapsed="false">
      <c r="A42" s="3" t="s">
        <v>637</v>
      </c>
      <c r="B42" s="3" t="s">
        <v>1045</v>
      </c>
      <c r="C42" s="3" t="s">
        <v>105</v>
      </c>
      <c r="D42" s="3" t="s">
        <v>32</v>
      </c>
      <c r="E42" s="3" t="s">
        <v>13</v>
      </c>
      <c r="F42" s="3" t="s">
        <v>42</v>
      </c>
      <c r="G42" s="3" t="n">
        <v>11</v>
      </c>
      <c r="H42" s="3" t="n">
        <v>1799</v>
      </c>
      <c r="I42" s="3" t="n">
        <f aca="false">G42*H42</f>
        <v>19789</v>
      </c>
    </row>
    <row r="43" customFormat="false" ht="15" hidden="false" customHeight="false" outlineLevel="0" collapsed="false">
      <c r="A43" s="3" t="s">
        <v>366</v>
      </c>
      <c r="B43" s="3" t="s">
        <v>1046</v>
      </c>
      <c r="C43" s="3" t="s">
        <v>38</v>
      </c>
      <c r="D43" s="3" t="s">
        <v>32</v>
      </c>
      <c r="E43" s="3" t="s">
        <v>56</v>
      </c>
      <c r="F43" s="3" t="s">
        <v>42</v>
      </c>
      <c r="G43" s="3" t="n">
        <v>6</v>
      </c>
      <c r="H43" s="3" t="n">
        <v>1999</v>
      </c>
      <c r="I43" s="3" t="n">
        <f aca="false">G43*H43</f>
        <v>11994</v>
      </c>
    </row>
    <row r="44" customFormat="false" ht="15" hidden="false" customHeight="false" outlineLevel="0" collapsed="false">
      <c r="A44" s="3" t="s">
        <v>731</v>
      </c>
      <c r="B44" s="3" t="s">
        <v>1046</v>
      </c>
      <c r="C44" s="3" t="s">
        <v>55</v>
      </c>
      <c r="D44" s="3" t="s">
        <v>12</v>
      </c>
      <c r="E44" s="3" t="s">
        <v>41</v>
      </c>
      <c r="F44" s="3" t="s">
        <v>42</v>
      </c>
      <c r="G44" s="3" t="n">
        <v>2</v>
      </c>
      <c r="H44" s="3" t="n">
        <v>299</v>
      </c>
      <c r="I44" s="3" t="n">
        <f aca="false">G44*H44</f>
        <v>598</v>
      </c>
    </row>
    <row r="45" customFormat="false" ht="15" hidden="false" customHeight="false" outlineLevel="0" collapsed="false">
      <c r="A45" s="3" t="s">
        <v>273</v>
      </c>
      <c r="B45" s="3" t="s">
        <v>1046</v>
      </c>
      <c r="C45" s="3" t="s">
        <v>16</v>
      </c>
      <c r="D45" s="3" t="s">
        <v>12</v>
      </c>
      <c r="E45" s="3" t="s">
        <v>13</v>
      </c>
      <c r="F45" s="3" t="s">
        <v>18</v>
      </c>
      <c r="G45" s="3" t="n">
        <v>7</v>
      </c>
      <c r="H45" s="3" t="n">
        <v>2499</v>
      </c>
      <c r="I45" s="3" t="n">
        <f aca="false">G45*H45</f>
        <v>17493</v>
      </c>
    </row>
    <row r="46" customFormat="false" ht="15" hidden="false" customHeight="false" outlineLevel="0" collapsed="false">
      <c r="A46" s="3" t="s">
        <v>606</v>
      </c>
      <c r="B46" s="3" t="s">
        <v>1047</v>
      </c>
      <c r="C46" s="3" t="s">
        <v>31</v>
      </c>
      <c r="D46" s="3" t="s">
        <v>32</v>
      </c>
      <c r="E46" s="3" t="s">
        <v>13</v>
      </c>
      <c r="F46" s="3" t="s">
        <v>42</v>
      </c>
      <c r="G46" s="3" t="n">
        <v>2</v>
      </c>
      <c r="H46" s="3" t="n">
        <v>1499</v>
      </c>
      <c r="I46" s="3" t="n">
        <f aca="false">G46*H46</f>
        <v>2998</v>
      </c>
    </row>
    <row r="47" customFormat="false" ht="15" hidden="false" customHeight="false" outlineLevel="0" collapsed="false">
      <c r="A47" s="3" t="s">
        <v>880</v>
      </c>
      <c r="B47" s="3" t="s">
        <v>1047</v>
      </c>
      <c r="C47" s="3" t="s">
        <v>45</v>
      </c>
      <c r="D47" s="3" t="s">
        <v>12</v>
      </c>
      <c r="E47" s="3" t="s">
        <v>41</v>
      </c>
      <c r="F47" s="3" t="s">
        <v>28</v>
      </c>
      <c r="G47" s="3" t="n">
        <v>2</v>
      </c>
      <c r="H47" s="3" t="n">
        <v>499</v>
      </c>
      <c r="I47" s="3" t="n">
        <f aca="false">G47*H47</f>
        <v>998</v>
      </c>
    </row>
    <row r="48" customFormat="false" ht="15" hidden="false" customHeight="false" outlineLevel="0" collapsed="false">
      <c r="A48" s="3" t="s">
        <v>785</v>
      </c>
      <c r="B48" s="3" t="s">
        <v>1047</v>
      </c>
      <c r="C48" s="3" t="s">
        <v>55</v>
      </c>
      <c r="D48" s="3" t="s">
        <v>12</v>
      </c>
      <c r="E48" s="3" t="s">
        <v>13</v>
      </c>
      <c r="F48" s="3" t="s">
        <v>42</v>
      </c>
      <c r="G48" s="3" t="n">
        <v>2</v>
      </c>
      <c r="H48" s="3" t="n">
        <v>299</v>
      </c>
      <c r="I48" s="3" t="n">
        <f aca="false">G48*H48</f>
        <v>598</v>
      </c>
    </row>
    <row r="49" customFormat="false" ht="15" hidden="false" customHeight="false" outlineLevel="0" collapsed="false">
      <c r="A49" s="3" t="s">
        <v>626</v>
      </c>
      <c r="B49" s="3" t="s">
        <v>1047</v>
      </c>
      <c r="C49" s="3" t="s">
        <v>55</v>
      </c>
      <c r="D49" s="3" t="s">
        <v>12</v>
      </c>
      <c r="E49" s="3" t="s">
        <v>13</v>
      </c>
      <c r="F49" s="3" t="s">
        <v>18</v>
      </c>
      <c r="G49" s="3" t="n">
        <v>4</v>
      </c>
      <c r="H49" s="3" t="n">
        <v>299</v>
      </c>
      <c r="I49" s="3" t="n">
        <f aca="false">G49*H49</f>
        <v>1196</v>
      </c>
    </row>
    <row r="50" customFormat="false" ht="15" hidden="false" customHeight="false" outlineLevel="0" collapsed="false">
      <c r="A50" s="3" t="s">
        <v>611</v>
      </c>
      <c r="B50" s="3" t="s">
        <v>1048</v>
      </c>
      <c r="C50" s="3" t="s">
        <v>55</v>
      </c>
      <c r="D50" s="3" t="s">
        <v>12</v>
      </c>
      <c r="E50" s="3" t="s">
        <v>23</v>
      </c>
      <c r="F50" s="3" t="s">
        <v>24</v>
      </c>
      <c r="G50" s="3" t="n">
        <v>7</v>
      </c>
      <c r="H50" s="3" t="n">
        <v>299</v>
      </c>
      <c r="I50" s="3" t="n">
        <f aca="false">G50*H50</f>
        <v>2093</v>
      </c>
    </row>
    <row r="51" customFormat="false" ht="15" hidden="false" customHeight="false" outlineLevel="0" collapsed="false">
      <c r="A51" s="3" t="s">
        <v>943</v>
      </c>
      <c r="B51" s="3" t="s">
        <v>1048</v>
      </c>
      <c r="C51" s="3" t="s">
        <v>75</v>
      </c>
      <c r="D51" s="3" t="s">
        <v>32</v>
      </c>
      <c r="E51" s="3" t="s">
        <v>13</v>
      </c>
      <c r="F51" s="3" t="s">
        <v>24</v>
      </c>
      <c r="G51" s="3" t="n">
        <v>11</v>
      </c>
      <c r="H51" s="3" t="n">
        <v>8999</v>
      </c>
      <c r="I51" s="3" t="n">
        <f aca="false">G51*H51</f>
        <v>98989</v>
      </c>
    </row>
    <row r="52" customFormat="false" ht="15" hidden="false" customHeight="false" outlineLevel="0" collapsed="false">
      <c r="A52" s="3" t="s">
        <v>227</v>
      </c>
      <c r="B52" s="3" t="s">
        <v>1048</v>
      </c>
      <c r="C52" s="3" t="s">
        <v>93</v>
      </c>
      <c r="D52" s="3" t="s">
        <v>12</v>
      </c>
      <c r="E52" s="3" t="s">
        <v>13</v>
      </c>
      <c r="F52" s="3" t="s">
        <v>24</v>
      </c>
      <c r="G52" s="3" t="n">
        <v>5</v>
      </c>
      <c r="H52" s="3" t="n">
        <v>1299</v>
      </c>
      <c r="I52" s="3" t="n">
        <f aca="false">G52*H52</f>
        <v>6495</v>
      </c>
    </row>
    <row r="53" customFormat="false" ht="15" hidden="false" customHeight="false" outlineLevel="0" collapsed="false">
      <c r="A53" s="3" t="s">
        <v>693</v>
      </c>
      <c r="B53" s="3" t="s">
        <v>1049</v>
      </c>
      <c r="C53" s="3" t="s">
        <v>31</v>
      </c>
      <c r="D53" s="3" t="s">
        <v>32</v>
      </c>
      <c r="E53" s="3" t="s">
        <v>23</v>
      </c>
      <c r="F53" s="3" t="s">
        <v>42</v>
      </c>
      <c r="G53" s="3" t="n">
        <v>1</v>
      </c>
      <c r="H53" s="3" t="n">
        <v>1499</v>
      </c>
      <c r="I53" s="3" t="n">
        <f aca="false">G53*H53</f>
        <v>1499</v>
      </c>
    </row>
    <row r="54" customFormat="false" ht="15" hidden="false" customHeight="false" outlineLevel="0" collapsed="false">
      <c r="A54" s="3" t="s">
        <v>29</v>
      </c>
      <c r="B54" s="3" t="s">
        <v>1049</v>
      </c>
      <c r="C54" s="3" t="s">
        <v>31</v>
      </c>
      <c r="D54" s="3" t="s">
        <v>32</v>
      </c>
      <c r="E54" s="3" t="s">
        <v>13</v>
      </c>
      <c r="F54" s="3" t="s">
        <v>18</v>
      </c>
      <c r="G54" s="3" t="n">
        <v>12</v>
      </c>
      <c r="H54" s="3" t="n">
        <v>1499</v>
      </c>
      <c r="I54" s="3" t="n">
        <f aca="false">G54*H54</f>
        <v>17988</v>
      </c>
    </row>
    <row r="55" customFormat="false" ht="15" hidden="false" customHeight="false" outlineLevel="0" collapsed="false">
      <c r="A55" s="3" t="s">
        <v>970</v>
      </c>
      <c r="B55" s="3" t="s">
        <v>1050</v>
      </c>
      <c r="C55" s="3" t="s">
        <v>55</v>
      </c>
      <c r="D55" s="3" t="s">
        <v>12</v>
      </c>
      <c r="E55" s="3" t="s">
        <v>13</v>
      </c>
      <c r="F55" s="3" t="s">
        <v>28</v>
      </c>
      <c r="G55" s="3" t="n">
        <v>7</v>
      </c>
      <c r="H55" s="3" t="n">
        <v>299</v>
      </c>
      <c r="I55" s="3" t="n">
        <f aca="false">G55*H55</f>
        <v>2093</v>
      </c>
    </row>
    <row r="56" customFormat="false" ht="15" hidden="false" customHeight="false" outlineLevel="0" collapsed="false">
      <c r="A56" s="3" t="s">
        <v>405</v>
      </c>
      <c r="B56" s="3" t="s">
        <v>1051</v>
      </c>
      <c r="C56" s="3" t="s">
        <v>105</v>
      </c>
      <c r="D56" s="3" t="s">
        <v>32</v>
      </c>
      <c r="E56" s="3" t="s">
        <v>41</v>
      </c>
      <c r="F56" s="3" t="s">
        <v>42</v>
      </c>
      <c r="G56" s="3" t="n">
        <v>10</v>
      </c>
      <c r="H56" s="3" t="n">
        <v>1799</v>
      </c>
      <c r="I56" s="3" t="n">
        <f aca="false">G56*H56</f>
        <v>17990</v>
      </c>
    </row>
    <row r="57" customFormat="false" ht="15" hidden="false" customHeight="false" outlineLevel="0" collapsed="false">
      <c r="A57" s="3" t="s">
        <v>799</v>
      </c>
      <c r="B57" s="3" t="s">
        <v>1051</v>
      </c>
      <c r="C57" s="3" t="s">
        <v>21</v>
      </c>
      <c r="D57" s="3" t="s">
        <v>22</v>
      </c>
      <c r="E57" s="3" t="s">
        <v>23</v>
      </c>
      <c r="F57" s="3" t="s">
        <v>18</v>
      </c>
      <c r="G57" s="3" t="n">
        <v>2</v>
      </c>
      <c r="H57" s="3" t="n">
        <v>699</v>
      </c>
      <c r="I57" s="3" t="n">
        <f aca="false">G57*H57</f>
        <v>1398</v>
      </c>
    </row>
    <row r="58" customFormat="false" ht="15" hidden="false" customHeight="false" outlineLevel="0" collapsed="false">
      <c r="A58" s="3" t="s">
        <v>776</v>
      </c>
      <c r="B58" s="3" t="s">
        <v>1051</v>
      </c>
      <c r="C58" s="3" t="s">
        <v>93</v>
      </c>
      <c r="D58" s="3" t="s">
        <v>12</v>
      </c>
      <c r="E58" s="3" t="s">
        <v>41</v>
      </c>
      <c r="F58" s="3" t="s">
        <v>18</v>
      </c>
      <c r="G58" s="3" t="n">
        <v>4</v>
      </c>
      <c r="H58" s="3" t="n">
        <v>1299</v>
      </c>
      <c r="I58" s="3" t="n">
        <f aca="false">G58*H58</f>
        <v>5196</v>
      </c>
    </row>
    <row r="59" customFormat="false" ht="15" hidden="false" customHeight="false" outlineLevel="0" collapsed="false">
      <c r="A59" s="3" t="s">
        <v>327</v>
      </c>
      <c r="B59" s="3" t="s">
        <v>1051</v>
      </c>
      <c r="C59" s="3" t="s">
        <v>93</v>
      </c>
      <c r="D59" s="3" t="s">
        <v>12</v>
      </c>
      <c r="E59" s="3" t="s">
        <v>41</v>
      </c>
      <c r="F59" s="3" t="s">
        <v>24</v>
      </c>
      <c r="G59" s="3" t="n">
        <v>8</v>
      </c>
      <c r="H59" s="3" t="n">
        <v>1299</v>
      </c>
      <c r="I59" s="3" t="n">
        <f aca="false">G59*H59</f>
        <v>10392</v>
      </c>
    </row>
    <row r="60" customFormat="false" ht="15" hidden="false" customHeight="false" outlineLevel="0" collapsed="false">
      <c r="A60" s="3" t="s">
        <v>648</v>
      </c>
      <c r="B60" s="3" t="s">
        <v>1051</v>
      </c>
      <c r="C60" s="3" t="s">
        <v>16</v>
      </c>
      <c r="D60" s="3" t="s">
        <v>12</v>
      </c>
      <c r="E60" s="3" t="s">
        <v>13</v>
      </c>
      <c r="F60" s="3" t="s">
        <v>42</v>
      </c>
      <c r="G60" s="3" t="n">
        <v>6</v>
      </c>
      <c r="H60" s="3" t="n">
        <v>2499</v>
      </c>
      <c r="I60" s="3" t="n">
        <f aca="false">G60*H60</f>
        <v>14994</v>
      </c>
    </row>
    <row r="61" customFormat="false" ht="15" hidden="false" customHeight="false" outlineLevel="0" collapsed="false">
      <c r="A61" s="3" t="s">
        <v>1003</v>
      </c>
      <c r="B61" s="3" t="s">
        <v>1052</v>
      </c>
      <c r="C61" s="3" t="s">
        <v>21</v>
      </c>
      <c r="D61" s="3" t="s">
        <v>22</v>
      </c>
      <c r="E61" s="3" t="s">
        <v>13</v>
      </c>
      <c r="F61" s="3" t="s">
        <v>28</v>
      </c>
      <c r="G61" s="3" t="n">
        <v>5</v>
      </c>
      <c r="H61" s="3" t="n">
        <v>699</v>
      </c>
      <c r="I61" s="3" t="n">
        <f aca="false">G61*H61</f>
        <v>3495</v>
      </c>
    </row>
    <row r="62" customFormat="false" ht="15" hidden="false" customHeight="false" outlineLevel="0" collapsed="false">
      <c r="A62" s="3" t="s">
        <v>138</v>
      </c>
      <c r="B62" s="3" t="s">
        <v>1052</v>
      </c>
      <c r="C62" s="3" t="s">
        <v>27</v>
      </c>
      <c r="D62" s="3" t="s">
        <v>22</v>
      </c>
      <c r="E62" s="3" t="s">
        <v>41</v>
      </c>
      <c r="F62" s="3" t="s">
        <v>18</v>
      </c>
      <c r="G62" s="3" t="n">
        <v>10</v>
      </c>
      <c r="H62" s="3" t="n">
        <v>899</v>
      </c>
      <c r="I62" s="3" t="n">
        <f aca="false">G62*H62</f>
        <v>8990</v>
      </c>
    </row>
    <row r="63" customFormat="false" ht="15" hidden="false" customHeight="false" outlineLevel="0" collapsed="false">
      <c r="A63" s="3" t="s">
        <v>601</v>
      </c>
      <c r="B63" s="3" t="s">
        <v>1053</v>
      </c>
      <c r="C63" s="3" t="s">
        <v>105</v>
      </c>
      <c r="D63" s="3" t="s">
        <v>32</v>
      </c>
      <c r="E63" s="3" t="s">
        <v>13</v>
      </c>
      <c r="F63" s="3" t="s">
        <v>18</v>
      </c>
      <c r="G63" s="3" t="n">
        <v>14</v>
      </c>
      <c r="H63" s="3" t="n">
        <v>1799</v>
      </c>
      <c r="I63" s="3" t="n">
        <f aca="false">G63*H63</f>
        <v>25186</v>
      </c>
    </row>
    <row r="64" customFormat="false" ht="15" hidden="false" customHeight="false" outlineLevel="0" collapsed="false">
      <c r="A64" s="3" t="s">
        <v>111</v>
      </c>
      <c r="B64" s="3" t="s">
        <v>1054</v>
      </c>
      <c r="C64" s="3" t="s">
        <v>75</v>
      </c>
      <c r="D64" s="3" t="s">
        <v>32</v>
      </c>
      <c r="E64" s="3" t="s">
        <v>13</v>
      </c>
      <c r="F64" s="3" t="s">
        <v>28</v>
      </c>
      <c r="G64" s="3" t="n">
        <v>3</v>
      </c>
      <c r="H64" s="3" t="n">
        <v>8999</v>
      </c>
      <c r="I64" s="3" t="n">
        <f aca="false">G64*H64</f>
        <v>26997</v>
      </c>
    </row>
    <row r="65" customFormat="false" ht="15" hidden="false" customHeight="false" outlineLevel="0" collapsed="false">
      <c r="A65" s="3" t="s">
        <v>517</v>
      </c>
      <c r="B65" s="3" t="s">
        <v>1054</v>
      </c>
      <c r="C65" s="3" t="s">
        <v>38</v>
      </c>
      <c r="D65" s="3" t="s">
        <v>32</v>
      </c>
      <c r="E65" s="3" t="s">
        <v>41</v>
      </c>
      <c r="F65" s="3" t="s">
        <v>18</v>
      </c>
      <c r="G65" s="3" t="n">
        <v>14</v>
      </c>
      <c r="H65" s="3" t="n">
        <v>1999</v>
      </c>
      <c r="I65" s="3" t="n">
        <f aca="false">G65*H65</f>
        <v>27986</v>
      </c>
    </row>
    <row r="66" customFormat="false" ht="15" hidden="false" customHeight="false" outlineLevel="0" collapsed="false">
      <c r="A66" s="3" t="s">
        <v>496</v>
      </c>
      <c r="B66" s="3" t="s">
        <v>1055</v>
      </c>
      <c r="C66" s="3" t="s">
        <v>93</v>
      </c>
      <c r="D66" s="3" t="s">
        <v>12</v>
      </c>
      <c r="E66" s="3" t="s">
        <v>41</v>
      </c>
      <c r="F66" s="3" t="s">
        <v>42</v>
      </c>
      <c r="G66" s="3" t="n">
        <v>12</v>
      </c>
      <c r="H66" s="3" t="n">
        <v>1299</v>
      </c>
      <c r="I66" s="3" t="n">
        <f aca="false">G66*H66</f>
        <v>15588</v>
      </c>
    </row>
    <row r="67" customFormat="false" ht="15" hidden="false" customHeight="false" outlineLevel="0" collapsed="false">
      <c r="A67" s="3" t="s">
        <v>194</v>
      </c>
      <c r="B67" s="3" t="s">
        <v>1056</v>
      </c>
      <c r="C67" s="3" t="s">
        <v>31</v>
      </c>
      <c r="D67" s="3" t="s">
        <v>32</v>
      </c>
      <c r="E67" s="3" t="s">
        <v>13</v>
      </c>
      <c r="F67" s="3" t="s">
        <v>42</v>
      </c>
      <c r="G67" s="3" t="n">
        <v>6</v>
      </c>
      <c r="H67" s="3" t="n">
        <v>1499</v>
      </c>
      <c r="I67" s="3" t="n">
        <f aca="false">G67*H67</f>
        <v>8994</v>
      </c>
    </row>
    <row r="68" customFormat="false" ht="15" hidden="false" customHeight="false" outlineLevel="0" collapsed="false">
      <c r="A68" s="3" t="s">
        <v>839</v>
      </c>
      <c r="B68" s="3" t="s">
        <v>1056</v>
      </c>
      <c r="C68" s="3" t="s">
        <v>55</v>
      </c>
      <c r="D68" s="3" t="s">
        <v>12</v>
      </c>
      <c r="E68" s="3" t="s">
        <v>41</v>
      </c>
      <c r="F68" s="3" t="s">
        <v>42</v>
      </c>
      <c r="G68" s="3" t="n">
        <v>10</v>
      </c>
      <c r="H68" s="3" t="n">
        <v>299</v>
      </c>
      <c r="I68" s="3" t="n">
        <f aca="false">G68*H68</f>
        <v>2990</v>
      </c>
    </row>
    <row r="69" customFormat="false" ht="15" hidden="false" customHeight="false" outlineLevel="0" collapsed="false">
      <c r="A69" s="3" t="s">
        <v>507</v>
      </c>
      <c r="B69" s="3" t="s">
        <v>1057</v>
      </c>
      <c r="C69" s="3" t="s">
        <v>27</v>
      </c>
      <c r="D69" s="3" t="s">
        <v>22</v>
      </c>
      <c r="E69" s="3" t="s">
        <v>23</v>
      </c>
      <c r="F69" s="3" t="s">
        <v>18</v>
      </c>
      <c r="G69" s="3" t="n">
        <v>14</v>
      </c>
      <c r="H69" s="3" t="n">
        <v>899</v>
      </c>
      <c r="I69" s="3" t="n">
        <f aca="false">G69*H69</f>
        <v>12586</v>
      </c>
    </row>
    <row r="70" customFormat="false" ht="15" hidden="false" customHeight="false" outlineLevel="0" collapsed="false">
      <c r="A70" s="3" t="s">
        <v>656</v>
      </c>
      <c r="B70" s="3" t="s">
        <v>1058</v>
      </c>
      <c r="C70" s="3" t="s">
        <v>45</v>
      </c>
      <c r="D70" s="3" t="s">
        <v>12</v>
      </c>
      <c r="E70" s="3" t="s">
        <v>23</v>
      </c>
      <c r="F70" s="3" t="s">
        <v>42</v>
      </c>
      <c r="G70" s="3" t="n">
        <v>13</v>
      </c>
      <c r="H70" s="3" t="n">
        <v>499</v>
      </c>
      <c r="I70" s="3" t="n">
        <f aca="false">G70*H70</f>
        <v>6487</v>
      </c>
    </row>
    <row r="71" customFormat="false" ht="15" hidden="false" customHeight="false" outlineLevel="0" collapsed="false">
      <c r="A71" s="3" t="s">
        <v>350</v>
      </c>
      <c r="B71" s="3" t="s">
        <v>1058</v>
      </c>
      <c r="C71" s="3" t="s">
        <v>45</v>
      </c>
      <c r="D71" s="3" t="s">
        <v>12</v>
      </c>
      <c r="E71" s="3" t="s">
        <v>23</v>
      </c>
      <c r="F71" s="3" t="s">
        <v>28</v>
      </c>
      <c r="G71" s="3" t="n">
        <v>14</v>
      </c>
      <c r="H71" s="3" t="n">
        <v>499</v>
      </c>
      <c r="I71" s="3" t="n">
        <f aca="false">G71*H71</f>
        <v>6986</v>
      </c>
    </row>
    <row r="72" customFormat="false" ht="15" hidden="false" customHeight="false" outlineLevel="0" collapsed="false">
      <c r="A72" s="3" t="s">
        <v>474</v>
      </c>
      <c r="B72" s="3" t="s">
        <v>1059</v>
      </c>
      <c r="C72" s="3" t="s">
        <v>27</v>
      </c>
      <c r="D72" s="3" t="s">
        <v>22</v>
      </c>
      <c r="E72" s="3" t="s">
        <v>13</v>
      </c>
      <c r="F72" s="3" t="s">
        <v>18</v>
      </c>
      <c r="G72" s="3" t="n">
        <v>11</v>
      </c>
      <c r="H72" s="3" t="n">
        <v>899</v>
      </c>
      <c r="I72" s="3" t="n">
        <f aca="false">G72*H72</f>
        <v>9889</v>
      </c>
    </row>
    <row r="73" customFormat="false" ht="15" hidden="false" customHeight="false" outlineLevel="0" collapsed="false">
      <c r="A73" s="3" t="s">
        <v>339</v>
      </c>
      <c r="B73" s="3" t="s">
        <v>1059</v>
      </c>
      <c r="C73" s="3" t="s">
        <v>27</v>
      </c>
      <c r="D73" s="3" t="s">
        <v>22</v>
      </c>
      <c r="E73" s="3" t="s">
        <v>56</v>
      </c>
      <c r="F73" s="3" t="s">
        <v>35</v>
      </c>
      <c r="G73" s="3" t="n">
        <v>13</v>
      </c>
      <c r="H73" s="3" t="n">
        <v>899</v>
      </c>
      <c r="I73" s="3" t="n">
        <f aca="false">G73*H73</f>
        <v>11687</v>
      </c>
    </row>
    <row r="74" customFormat="false" ht="15" hidden="false" customHeight="false" outlineLevel="0" collapsed="false">
      <c r="A74" s="3" t="s">
        <v>312</v>
      </c>
      <c r="B74" s="3" t="s">
        <v>1059</v>
      </c>
      <c r="C74" s="3" t="s">
        <v>27</v>
      </c>
      <c r="D74" s="3" t="s">
        <v>22</v>
      </c>
      <c r="E74" s="3" t="s">
        <v>13</v>
      </c>
      <c r="F74" s="3" t="s">
        <v>28</v>
      </c>
      <c r="G74" s="3" t="n">
        <v>14</v>
      </c>
      <c r="H74" s="3" t="n">
        <v>899</v>
      </c>
      <c r="I74" s="3" t="n">
        <f aca="false">G74*H74</f>
        <v>12586</v>
      </c>
    </row>
    <row r="75" customFormat="false" ht="15" hidden="false" customHeight="false" outlineLevel="0" collapsed="false">
      <c r="A75" s="3" t="s">
        <v>403</v>
      </c>
      <c r="B75" s="3" t="s">
        <v>1060</v>
      </c>
      <c r="C75" s="3" t="s">
        <v>93</v>
      </c>
      <c r="D75" s="3" t="s">
        <v>12</v>
      </c>
      <c r="E75" s="3" t="s">
        <v>13</v>
      </c>
      <c r="F75" s="3" t="s">
        <v>35</v>
      </c>
      <c r="G75" s="3" t="n">
        <v>3</v>
      </c>
      <c r="H75" s="3" t="n">
        <v>1299</v>
      </c>
      <c r="I75" s="3" t="n">
        <f aca="false">G75*H75</f>
        <v>3897</v>
      </c>
    </row>
    <row r="76" customFormat="false" ht="15" hidden="false" customHeight="false" outlineLevel="0" collapsed="false">
      <c r="A76" s="3" t="s">
        <v>569</v>
      </c>
      <c r="B76" s="3" t="s">
        <v>1060</v>
      </c>
      <c r="C76" s="3" t="s">
        <v>16</v>
      </c>
      <c r="D76" s="3" t="s">
        <v>12</v>
      </c>
      <c r="E76" s="3" t="s">
        <v>41</v>
      </c>
      <c r="F76" s="3" t="s">
        <v>28</v>
      </c>
      <c r="G76" s="3" t="n">
        <v>8</v>
      </c>
      <c r="H76" s="3" t="n">
        <v>2499</v>
      </c>
      <c r="I76" s="3" t="n">
        <f aca="false">G76*H76</f>
        <v>19992</v>
      </c>
    </row>
    <row r="77" customFormat="false" ht="15" hidden="false" customHeight="false" outlineLevel="0" collapsed="false">
      <c r="A77" s="3" t="s">
        <v>741</v>
      </c>
      <c r="B77" s="3" t="s">
        <v>1061</v>
      </c>
      <c r="C77" s="3" t="s">
        <v>27</v>
      </c>
      <c r="D77" s="3" t="s">
        <v>22</v>
      </c>
      <c r="E77" s="3" t="s">
        <v>13</v>
      </c>
      <c r="F77" s="3" t="s">
        <v>18</v>
      </c>
      <c r="G77" s="3" t="n">
        <v>13</v>
      </c>
      <c r="H77" s="3" t="n">
        <v>899</v>
      </c>
      <c r="I77" s="3" t="n">
        <f aca="false">G77*H77</f>
        <v>11687</v>
      </c>
    </row>
    <row r="78" customFormat="false" ht="15" hidden="false" customHeight="false" outlineLevel="0" collapsed="false">
      <c r="A78" s="3" t="s">
        <v>505</v>
      </c>
      <c r="B78" s="3" t="s">
        <v>1061</v>
      </c>
      <c r="C78" s="3" t="s">
        <v>38</v>
      </c>
      <c r="D78" s="3" t="s">
        <v>32</v>
      </c>
      <c r="E78" s="3" t="s">
        <v>41</v>
      </c>
      <c r="F78" s="3" t="s">
        <v>28</v>
      </c>
      <c r="G78" s="3" t="n">
        <v>8</v>
      </c>
      <c r="H78" s="3" t="n">
        <v>1999</v>
      </c>
      <c r="I78" s="3" t="n">
        <f aca="false">G78*H78</f>
        <v>15992</v>
      </c>
    </row>
    <row r="79" customFormat="false" ht="15" hidden="false" customHeight="false" outlineLevel="0" collapsed="false">
      <c r="A79" s="3" t="s">
        <v>533</v>
      </c>
      <c r="B79" s="3" t="s">
        <v>1062</v>
      </c>
      <c r="C79" s="3" t="s">
        <v>21</v>
      </c>
      <c r="D79" s="3" t="s">
        <v>22</v>
      </c>
      <c r="E79" s="3" t="s">
        <v>41</v>
      </c>
      <c r="F79" s="3" t="s">
        <v>18</v>
      </c>
      <c r="G79" s="3" t="n">
        <v>6</v>
      </c>
      <c r="H79" s="3" t="n">
        <v>699</v>
      </c>
      <c r="I79" s="3" t="n">
        <f aca="false">G79*H79</f>
        <v>4194</v>
      </c>
    </row>
    <row r="80" customFormat="false" ht="15" hidden="false" customHeight="false" outlineLevel="0" collapsed="false">
      <c r="A80" s="3" t="s">
        <v>515</v>
      </c>
      <c r="B80" s="3" t="s">
        <v>1062</v>
      </c>
      <c r="C80" s="3" t="s">
        <v>55</v>
      </c>
      <c r="D80" s="3" t="s">
        <v>12</v>
      </c>
      <c r="E80" s="3" t="s">
        <v>13</v>
      </c>
      <c r="F80" s="3" t="s">
        <v>35</v>
      </c>
      <c r="G80" s="3" t="n">
        <v>7</v>
      </c>
      <c r="H80" s="3" t="n">
        <v>299</v>
      </c>
      <c r="I80" s="3" t="n">
        <f aca="false">G80*H80</f>
        <v>2093</v>
      </c>
    </row>
    <row r="81" customFormat="false" ht="15" hidden="false" customHeight="false" outlineLevel="0" collapsed="false">
      <c r="A81" s="3" t="s">
        <v>565</v>
      </c>
      <c r="B81" s="3" t="s">
        <v>1063</v>
      </c>
      <c r="C81" s="3" t="s">
        <v>75</v>
      </c>
      <c r="D81" s="3" t="s">
        <v>32</v>
      </c>
      <c r="E81" s="3" t="s">
        <v>56</v>
      </c>
      <c r="F81" s="3" t="s">
        <v>35</v>
      </c>
      <c r="G81" s="3" t="n">
        <v>14</v>
      </c>
      <c r="H81" s="3" t="n">
        <v>8999</v>
      </c>
      <c r="I81" s="3" t="n">
        <f aca="false">G81*H81</f>
        <v>125986</v>
      </c>
    </row>
    <row r="82" customFormat="false" ht="15" hidden="false" customHeight="false" outlineLevel="0" collapsed="false">
      <c r="A82" s="3" t="s">
        <v>791</v>
      </c>
      <c r="B82" s="3" t="s">
        <v>1063</v>
      </c>
      <c r="C82" s="3" t="s">
        <v>105</v>
      </c>
      <c r="D82" s="3" t="s">
        <v>32</v>
      </c>
      <c r="E82" s="3" t="s">
        <v>13</v>
      </c>
      <c r="F82" s="3" t="s">
        <v>24</v>
      </c>
      <c r="G82" s="3" t="n">
        <v>1</v>
      </c>
      <c r="H82" s="3" t="n">
        <v>1799</v>
      </c>
      <c r="I82" s="3" t="n">
        <f aca="false">G82*H82</f>
        <v>1799</v>
      </c>
    </row>
    <row r="83" customFormat="false" ht="15" hidden="false" customHeight="false" outlineLevel="0" collapsed="false">
      <c r="A83" s="3" t="s">
        <v>757</v>
      </c>
      <c r="B83" s="3" t="s">
        <v>1064</v>
      </c>
      <c r="C83" s="3" t="s">
        <v>31</v>
      </c>
      <c r="D83" s="3" t="s">
        <v>32</v>
      </c>
      <c r="E83" s="3" t="s">
        <v>56</v>
      </c>
      <c r="F83" s="3" t="s">
        <v>24</v>
      </c>
      <c r="G83" s="3" t="n">
        <v>5</v>
      </c>
      <c r="H83" s="3" t="n">
        <v>1499</v>
      </c>
      <c r="I83" s="3" t="n">
        <f aca="false">G83*H83</f>
        <v>7495</v>
      </c>
    </row>
    <row r="84" customFormat="false" ht="15" hidden="false" customHeight="false" outlineLevel="0" collapsed="false">
      <c r="A84" s="3" t="s">
        <v>669</v>
      </c>
      <c r="B84" s="3" t="s">
        <v>1064</v>
      </c>
      <c r="C84" s="3" t="s">
        <v>31</v>
      </c>
      <c r="D84" s="3" t="s">
        <v>32</v>
      </c>
      <c r="E84" s="3" t="s">
        <v>13</v>
      </c>
      <c r="F84" s="3" t="s">
        <v>28</v>
      </c>
      <c r="G84" s="3" t="n">
        <v>5</v>
      </c>
      <c r="H84" s="3" t="n">
        <v>1499</v>
      </c>
      <c r="I84" s="3" t="n">
        <f aca="false">G84*H84</f>
        <v>7495</v>
      </c>
    </row>
    <row r="85" customFormat="false" ht="15" hidden="false" customHeight="false" outlineLevel="0" collapsed="false">
      <c r="A85" s="3" t="s">
        <v>521</v>
      </c>
      <c r="B85" s="3" t="s">
        <v>1064</v>
      </c>
      <c r="C85" s="3" t="s">
        <v>21</v>
      </c>
      <c r="D85" s="3" t="s">
        <v>22</v>
      </c>
      <c r="E85" s="3" t="s">
        <v>13</v>
      </c>
      <c r="F85" s="3" t="s">
        <v>18</v>
      </c>
      <c r="G85" s="3" t="n">
        <v>1</v>
      </c>
      <c r="H85" s="3" t="n">
        <v>699</v>
      </c>
      <c r="I85" s="3" t="n">
        <f aca="false">G85*H85</f>
        <v>699</v>
      </c>
    </row>
    <row r="86" customFormat="false" ht="15" hidden="false" customHeight="false" outlineLevel="0" collapsed="false">
      <c r="A86" s="3" t="s">
        <v>471</v>
      </c>
      <c r="B86" s="3" t="s">
        <v>1065</v>
      </c>
      <c r="C86" s="3" t="s">
        <v>75</v>
      </c>
      <c r="D86" s="3" t="s">
        <v>32</v>
      </c>
      <c r="E86" s="3" t="s">
        <v>56</v>
      </c>
      <c r="F86" s="3" t="s">
        <v>24</v>
      </c>
      <c r="G86" s="3" t="n">
        <v>2</v>
      </c>
      <c r="H86" s="3" t="n">
        <v>8999</v>
      </c>
      <c r="I86" s="3" t="n">
        <f aca="false">G86*H86</f>
        <v>17998</v>
      </c>
    </row>
    <row r="87" customFormat="false" ht="15" hidden="false" customHeight="false" outlineLevel="0" collapsed="false">
      <c r="A87" s="3" t="s">
        <v>898</v>
      </c>
      <c r="B87" s="3" t="s">
        <v>1065</v>
      </c>
      <c r="C87" s="3" t="s">
        <v>45</v>
      </c>
      <c r="D87" s="3" t="s">
        <v>12</v>
      </c>
      <c r="E87" s="3" t="s">
        <v>56</v>
      </c>
      <c r="F87" s="3" t="s">
        <v>24</v>
      </c>
      <c r="G87" s="3" t="n">
        <v>6</v>
      </c>
      <c r="H87" s="3" t="n">
        <v>499</v>
      </c>
      <c r="I87" s="3" t="n">
        <f aca="false">G87*H87</f>
        <v>2994</v>
      </c>
    </row>
    <row r="88" customFormat="false" ht="15" hidden="false" customHeight="false" outlineLevel="0" collapsed="false">
      <c r="A88" s="3" t="s">
        <v>389</v>
      </c>
      <c r="B88" s="3" t="s">
        <v>1065</v>
      </c>
      <c r="C88" s="3" t="s">
        <v>105</v>
      </c>
      <c r="D88" s="3" t="s">
        <v>32</v>
      </c>
      <c r="E88" s="3" t="s">
        <v>56</v>
      </c>
      <c r="F88" s="3" t="s">
        <v>42</v>
      </c>
      <c r="G88" s="3" t="n">
        <v>8</v>
      </c>
      <c r="H88" s="3" t="n">
        <v>1799</v>
      </c>
      <c r="I88" s="3" t="n">
        <f aca="false">G88*H88</f>
        <v>14392</v>
      </c>
    </row>
    <row r="89" customFormat="false" ht="15" hidden="false" customHeight="false" outlineLevel="0" collapsed="false">
      <c r="A89" s="3" t="s">
        <v>933</v>
      </c>
      <c r="B89" s="3" t="s">
        <v>1065</v>
      </c>
      <c r="C89" s="3" t="s">
        <v>16</v>
      </c>
      <c r="D89" s="3" t="s">
        <v>12</v>
      </c>
      <c r="E89" s="3" t="s">
        <v>41</v>
      </c>
      <c r="F89" s="3" t="s">
        <v>42</v>
      </c>
      <c r="G89" s="3" t="n">
        <v>6</v>
      </c>
      <c r="H89" s="3" t="n">
        <v>2499</v>
      </c>
      <c r="I89" s="3" t="n">
        <f aca="false">G89*H89</f>
        <v>14994</v>
      </c>
    </row>
    <row r="90" customFormat="false" ht="15" hidden="false" customHeight="false" outlineLevel="0" collapsed="false">
      <c r="A90" s="3" t="s">
        <v>242</v>
      </c>
      <c r="B90" s="3" t="s">
        <v>1066</v>
      </c>
      <c r="C90" s="3" t="s">
        <v>105</v>
      </c>
      <c r="D90" s="3" t="s">
        <v>32</v>
      </c>
      <c r="E90" s="3" t="s">
        <v>23</v>
      </c>
      <c r="F90" s="3" t="s">
        <v>28</v>
      </c>
      <c r="G90" s="3" t="n">
        <v>12</v>
      </c>
      <c r="H90" s="3" t="n">
        <v>1799</v>
      </c>
      <c r="I90" s="3" t="n">
        <f aca="false">G90*H90</f>
        <v>21588</v>
      </c>
    </row>
    <row r="91" customFormat="false" ht="15" hidden="false" customHeight="false" outlineLevel="0" collapsed="false">
      <c r="A91" s="3" t="s">
        <v>700</v>
      </c>
      <c r="B91" s="3" t="s">
        <v>1066</v>
      </c>
      <c r="C91" s="3" t="s">
        <v>93</v>
      </c>
      <c r="D91" s="3" t="s">
        <v>12</v>
      </c>
      <c r="E91" s="3" t="s">
        <v>41</v>
      </c>
      <c r="F91" s="3" t="s">
        <v>18</v>
      </c>
      <c r="G91" s="3" t="n">
        <v>13</v>
      </c>
      <c r="H91" s="3" t="n">
        <v>1299</v>
      </c>
      <c r="I91" s="3" t="n">
        <f aca="false">G91*H91</f>
        <v>16887</v>
      </c>
    </row>
    <row r="92" customFormat="false" ht="15" hidden="false" customHeight="false" outlineLevel="0" collapsed="false">
      <c r="A92" s="3" t="s">
        <v>352</v>
      </c>
      <c r="B92" s="3" t="s">
        <v>1066</v>
      </c>
      <c r="C92" s="3" t="s">
        <v>45</v>
      </c>
      <c r="D92" s="3" t="s">
        <v>12</v>
      </c>
      <c r="E92" s="3" t="s">
        <v>56</v>
      </c>
      <c r="F92" s="3" t="s">
        <v>35</v>
      </c>
      <c r="G92" s="3" t="n">
        <v>1</v>
      </c>
      <c r="H92" s="3" t="n">
        <v>499</v>
      </c>
      <c r="I92" s="3" t="n">
        <f aca="false">G92*H92</f>
        <v>499</v>
      </c>
    </row>
    <row r="93" customFormat="false" ht="15" hidden="false" customHeight="false" outlineLevel="0" collapsed="false">
      <c r="A93" s="3" t="s">
        <v>342</v>
      </c>
      <c r="B93" s="3" t="s">
        <v>1067</v>
      </c>
      <c r="C93" s="3" t="s">
        <v>55</v>
      </c>
      <c r="D93" s="3" t="s">
        <v>12</v>
      </c>
      <c r="E93" s="3" t="s">
        <v>41</v>
      </c>
      <c r="F93" s="3" t="s">
        <v>18</v>
      </c>
      <c r="G93" s="3" t="n">
        <v>1</v>
      </c>
      <c r="H93" s="3" t="n">
        <v>299</v>
      </c>
      <c r="I93" s="3" t="n">
        <f aca="false">G93*H93</f>
        <v>299</v>
      </c>
    </row>
    <row r="94" customFormat="false" ht="15" hidden="false" customHeight="false" outlineLevel="0" collapsed="false">
      <c r="A94" s="3" t="s">
        <v>610</v>
      </c>
      <c r="B94" s="3" t="s">
        <v>1067</v>
      </c>
      <c r="C94" s="3" t="s">
        <v>45</v>
      </c>
      <c r="D94" s="3" t="s">
        <v>12</v>
      </c>
      <c r="E94" s="3" t="s">
        <v>23</v>
      </c>
      <c r="F94" s="3" t="s">
        <v>42</v>
      </c>
      <c r="G94" s="3" t="n">
        <v>9</v>
      </c>
      <c r="H94" s="3" t="n">
        <v>499</v>
      </c>
      <c r="I94" s="3" t="n">
        <f aca="false">G94*H94</f>
        <v>4491</v>
      </c>
    </row>
    <row r="95" customFormat="false" ht="15" hidden="false" customHeight="false" outlineLevel="0" collapsed="false">
      <c r="A95" s="3" t="s">
        <v>956</v>
      </c>
      <c r="B95" s="3" t="s">
        <v>1067</v>
      </c>
      <c r="C95" s="3" t="s">
        <v>75</v>
      </c>
      <c r="D95" s="3" t="s">
        <v>32</v>
      </c>
      <c r="E95" s="3" t="s">
        <v>56</v>
      </c>
      <c r="F95" s="3" t="s">
        <v>42</v>
      </c>
      <c r="G95" s="3" t="n">
        <v>14</v>
      </c>
      <c r="H95" s="3" t="n">
        <v>8999</v>
      </c>
      <c r="I95" s="3" t="n">
        <f aca="false">G95*H95</f>
        <v>125986</v>
      </c>
    </row>
    <row r="96" customFormat="false" ht="15" hidden="false" customHeight="false" outlineLevel="0" collapsed="false">
      <c r="A96" s="3" t="s">
        <v>458</v>
      </c>
      <c r="B96" s="3" t="s">
        <v>1068</v>
      </c>
      <c r="C96" s="3" t="s">
        <v>45</v>
      </c>
      <c r="D96" s="3" t="s">
        <v>12</v>
      </c>
      <c r="E96" s="3" t="s">
        <v>56</v>
      </c>
      <c r="F96" s="3" t="s">
        <v>24</v>
      </c>
      <c r="G96" s="3" t="n">
        <v>10</v>
      </c>
      <c r="H96" s="3" t="n">
        <v>499</v>
      </c>
      <c r="I96" s="3" t="n">
        <f aca="false">G96*H96</f>
        <v>4990</v>
      </c>
    </row>
    <row r="97" customFormat="false" ht="15" hidden="false" customHeight="false" outlineLevel="0" collapsed="false">
      <c r="A97" s="3" t="s">
        <v>714</v>
      </c>
      <c r="B97" s="3" t="s">
        <v>1069</v>
      </c>
      <c r="C97" s="3" t="s">
        <v>55</v>
      </c>
      <c r="D97" s="3" t="s">
        <v>12</v>
      </c>
      <c r="E97" s="3" t="s">
        <v>23</v>
      </c>
      <c r="F97" s="3" t="s">
        <v>42</v>
      </c>
      <c r="G97" s="3" t="n">
        <v>1</v>
      </c>
      <c r="H97" s="3" t="n">
        <v>299</v>
      </c>
      <c r="I97" s="3" t="n">
        <f aca="false">G97*H97</f>
        <v>299</v>
      </c>
    </row>
    <row r="98" customFormat="false" ht="15" hidden="false" customHeight="false" outlineLevel="0" collapsed="false">
      <c r="A98" s="3" t="s">
        <v>790</v>
      </c>
      <c r="B98" s="3" t="s">
        <v>1069</v>
      </c>
      <c r="C98" s="3" t="s">
        <v>55</v>
      </c>
      <c r="D98" s="3" t="s">
        <v>12</v>
      </c>
      <c r="E98" s="3" t="s">
        <v>23</v>
      </c>
      <c r="F98" s="3" t="s">
        <v>28</v>
      </c>
      <c r="G98" s="3" t="n">
        <v>6</v>
      </c>
      <c r="H98" s="3" t="n">
        <v>299</v>
      </c>
      <c r="I98" s="3" t="n">
        <f aca="false">G98*H98</f>
        <v>1794</v>
      </c>
    </row>
    <row r="99" customFormat="false" ht="15" hidden="false" customHeight="false" outlineLevel="0" collapsed="false">
      <c r="A99" s="3" t="s">
        <v>557</v>
      </c>
      <c r="B99" s="3" t="s">
        <v>1070</v>
      </c>
      <c r="C99" s="3" t="s">
        <v>75</v>
      </c>
      <c r="D99" s="3" t="s">
        <v>32</v>
      </c>
      <c r="E99" s="3" t="s">
        <v>56</v>
      </c>
      <c r="F99" s="3" t="s">
        <v>18</v>
      </c>
      <c r="G99" s="3" t="n">
        <v>5</v>
      </c>
      <c r="H99" s="3" t="n">
        <v>8999</v>
      </c>
      <c r="I99" s="3" t="n">
        <f aca="false">G99*H99</f>
        <v>44995</v>
      </c>
    </row>
    <row r="100" customFormat="false" ht="15" hidden="false" customHeight="false" outlineLevel="0" collapsed="false">
      <c r="A100" s="3" t="s">
        <v>43</v>
      </c>
      <c r="B100" s="3" t="s">
        <v>1070</v>
      </c>
      <c r="C100" s="3" t="s">
        <v>45</v>
      </c>
      <c r="D100" s="3" t="s">
        <v>12</v>
      </c>
      <c r="E100" s="3" t="s">
        <v>23</v>
      </c>
      <c r="F100" s="3" t="s">
        <v>24</v>
      </c>
      <c r="G100" s="3" t="n">
        <v>7</v>
      </c>
      <c r="H100" s="3" t="n">
        <v>499</v>
      </c>
      <c r="I100" s="3" t="n">
        <f aca="false">G100*H100</f>
        <v>3493</v>
      </c>
    </row>
    <row r="101" customFormat="false" ht="15" hidden="false" customHeight="false" outlineLevel="0" collapsed="false">
      <c r="A101" s="3" t="s">
        <v>882</v>
      </c>
      <c r="B101" s="3" t="s">
        <v>1070</v>
      </c>
      <c r="C101" s="3" t="s">
        <v>31</v>
      </c>
      <c r="D101" s="3" t="s">
        <v>32</v>
      </c>
      <c r="E101" s="3" t="s">
        <v>41</v>
      </c>
      <c r="F101" s="3" t="s">
        <v>28</v>
      </c>
      <c r="G101" s="3" t="n">
        <v>14</v>
      </c>
      <c r="H101" s="3" t="n">
        <v>1499</v>
      </c>
      <c r="I101" s="3" t="n">
        <f aca="false">G101*H101</f>
        <v>20986</v>
      </c>
    </row>
    <row r="102" customFormat="false" ht="15" hidden="false" customHeight="false" outlineLevel="0" collapsed="false">
      <c r="A102" s="3" t="s">
        <v>192</v>
      </c>
      <c r="B102" s="3" t="s">
        <v>1071</v>
      </c>
      <c r="C102" s="3" t="s">
        <v>31</v>
      </c>
      <c r="D102" s="3" t="s">
        <v>32</v>
      </c>
      <c r="E102" s="3" t="s">
        <v>41</v>
      </c>
      <c r="F102" s="3" t="s">
        <v>35</v>
      </c>
      <c r="G102" s="3" t="n">
        <v>7</v>
      </c>
      <c r="H102" s="3" t="n">
        <v>1499</v>
      </c>
      <c r="I102" s="3" t="n">
        <f aca="false">G102*H102</f>
        <v>10493</v>
      </c>
    </row>
    <row r="103" customFormat="false" ht="15" hidden="false" customHeight="false" outlineLevel="0" collapsed="false">
      <c r="A103" s="3" t="s">
        <v>596</v>
      </c>
      <c r="B103" s="3" t="s">
        <v>1072</v>
      </c>
      <c r="C103" s="3" t="s">
        <v>38</v>
      </c>
      <c r="D103" s="3" t="s">
        <v>32</v>
      </c>
      <c r="E103" s="3" t="s">
        <v>23</v>
      </c>
      <c r="F103" s="3" t="s">
        <v>28</v>
      </c>
      <c r="G103" s="3" t="n">
        <v>13</v>
      </c>
      <c r="H103" s="3" t="n">
        <v>1999</v>
      </c>
      <c r="I103" s="3" t="n">
        <f aca="false">G103*H103</f>
        <v>25987</v>
      </c>
    </row>
    <row r="104" customFormat="false" ht="15" hidden="false" customHeight="false" outlineLevel="0" collapsed="false">
      <c r="A104" s="3" t="s">
        <v>359</v>
      </c>
      <c r="B104" s="3" t="s">
        <v>1073</v>
      </c>
      <c r="C104" s="3" t="s">
        <v>55</v>
      </c>
      <c r="D104" s="3" t="s">
        <v>12</v>
      </c>
      <c r="E104" s="3" t="s">
        <v>23</v>
      </c>
      <c r="F104" s="3" t="s">
        <v>28</v>
      </c>
      <c r="G104" s="3" t="n">
        <v>8</v>
      </c>
      <c r="H104" s="3" t="n">
        <v>299</v>
      </c>
      <c r="I104" s="3" t="n">
        <f aca="false">G104*H104</f>
        <v>2392</v>
      </c>
    </row>
    <row r="105" customFormat="false" ht="15" hidden="false" customHeight="false" outlineLevel="0" collapsed="false">
      <c r="A105" s="3" t="s">
        <v>684</v>
      </c>
      <c r="B105" s="3" t="s">
        <v>1073</v>
      </c>
      <c r="C105" s="3" t="s">
        <v>27</v>
      </c>
      <c r="D105" s="3" t="s">
        <v>22</v>
      </c>
      <c r="E105" s="3" t="s">
        <v>56</v>
      </c>
      <c r="F105" s="3" t="s">
        <v>35</v>
      </c>
      <c r="G105" s="3" t="n">
        <v>1</v>
      </c>
      <c r="H105" s="3" t="n">
        <v>899</v>
      </c>
      <c r="I105" s="3" t="n">
        <f aca="false">G105*H105</f>
        <v>899</v>
      </c>
    </row>
    <row r="106" customFormat="false" ht="15" hidden="false" customHeight="false" outlineLevel="0" collapsed="false">
      <c r="A106" s="3" t="s">
        <v>804</v>
      </c>
      <c r="B106" s="3" t="s">
        <v>1074</v>
      </c>
      <c r="C106" s="3" t="s">
        <v>55</v>
      </c>
      <c r="D106" s="3" t="s">
        <v>12</v>
      </c>
      <c r="E106" s="3" t="s">
        <v>23</v>
      </c>
      <c r="F106" s="3" t="s">
        <v>24</v>
      </c>
      <c r="G106" s="3" t="n">
        <v>7</v>
      </c>
      <c r="H106" s="3" t="n">
        <v>299</v>
      </c>
      <c r="I106" s="3" t="n">
        <f aca="false">G106*H106</f>
        <v>2093</v>
      </c>
    </row>
    <row r="107" customFormat="false" ht="15" hidden="false" customHeight="false" outlineLevel="0" collapsed="false">
      <c r="A107" s="3" t="s">
        <v>371</v>
      </c>
      <c r="B107" s="3" t="s">
        <v>1074</v>
      </c>
      <c r="C107" s="3" t="s">
        <v>31</v>
      </c>
      <c r="D107" s="3" t="s">
        <v>32</v>
      </c>
      <c r="E107" s="3" t="s">
        <v>23</v>
      </c>
      <c r="F107" s="3" t="s">
        <v>28</v>
      </c>
      <c r="G107" s="3" t="n">
        <v>4</v>
      </c>
      <c r="H107" s="3" t="n">
        <v>1499</v>
      </c>
      <c r="I107" s="3" t="n">
        <f aca="false">G107*H107</f>
        <v>5996</v>
      </c>
    </row>
    <row r="108" customFormat="false" ht="15" hidden="false" customHeight="false" outlineLevel="0" collapsed="false">
      <c r="A108" s="3" t="s">
        <v>387</v>
      </c>
      <c r="B108" s="3" t="s">
        <v>1075</v>
      </c>
      <c r="C108" s="3" t="s">
        <v>38</v>
      </c>
      <c r="D108" s="3" t="s">
        <v>32</v>
      </c>
      <c r="E108" s="3" t="s">
        <v>13</v>
      </c>
      <c r="F108" s="3" t="s">
        <v>42</v>
      </c>
      <c r="G108" s="3" t="n">
        <v>11</v>
      </c>
      <c r="H108" s="3" t="n">
        <v>1999</v>
      </c>
      <c r="I108" s="3" t="n">
        <f aca="false">G108*H108</f>
        <v>21989</v>
      </c>
    </row>
    <row r="109" customFormat="false" ht="15" hidden="false" customHeight="false" outlineLevel="0" collapsed="false">
      <c r="A109" s="3" t="s">
        <v>885</v>
      </c>
      <c r="B109" s="3" t="s">
        <v>1075</v>
      </c>
      <c r="C109" s="3" t="s">
        <v>38</v>
      </c>
      <c r="D109" s="3" t="s">
        <v>32</v>
      </c>
      <c r="E109" s="3" t="s">
        <v>23</v>
      </c>
      <c r="F109" s="3" t="s">
        <v>28</v>
      </c>
      <c r="G109" s="3" t="n">
        <v>9</v>
      </c>
      <c r="H109" s="3" t="n">
        <v>1999</v>
      </c>
      <c r="I109" s="3" t="n">
        <f aca="false">G109*H109</f>
        <v>17991</v>
      </c>
    </row>
    <row r="110" customFormat="false" ht="15" hidden="false" customHeight="false" outlineLevel="0" collapsed="false">
      <c r="A110" s="3" t="s">
        <v>500</v>
      </c>
      <c r="B110" s="3" t="s">
        <v>1076</v>
      </c>
      <c r="C110" s="3" t="s">
        <v>55</v>
      </c>
      <c r="D110" s="3" t="s">
        <v>12</v>
      </c>
      <c r="E110" s="3" t="s">
        <v>56</v>
      </c>
      <c r="F110" s="3" t="s">
        <v>24</v>
      </c>
      <c r="G110" s="3" t="n">
        <v>11</v>
      </c>
      <c r="H110" s="3" t="n">
        <v>299</v>
      </c>
      <c r="I110" s="3" t="n">
        <f aca="false">G110*H110</f>
        <v>3289</v>
      </c>
    </row>
    <row r="111" customFormat="false" ht="15" hidden="false" customHeight="false" outlineLevel="0" collapsed="false">
      <c r="A111" s="3" t="s">
        <v>853</v>
      </c>
      <c r="B111" s="3" t="s">
        <v>1077</v>
      </c>
      <c r="C111" s="3" t="s">
        <v>21</v>
      </c>
      <c r="D111" s="3" t="s">
        <v>22</v>
      </c>
      <c r="E111" s="3" t="s">
        <v>56</v>
      </c>
      <c r="F111" s="3" t="s">
        <v>24</v>
      </c>
      <c r="G111" s="3" t="n">
        <v>2</v>
      </c>
      <c r="H111" s="3" t="n">
        <v>699</v>
      </c>
      <c r="I111" s="3" t="n">
        <f aca="false">G111*H111</f>
        <v>1398</v>
      </c>
    </row>
    <row r="112" customFormat="false" ht="15" hidden="false" customHeight="false" outlineLevel="0" collapsed="false">
      <c r="A112" s="3" t="s">
        <v>179</v>
      </c>
      <c r="B112" s="3" t="s">
        <v>1078</v>
      </c>
      <c r="C112" s="3" t="s">
        <v>31</v>
      </c>
      <c r="D112" s="3" t="s">
        <v>32</v>
      </c>
      <c r="E112" s="3" t="s">
        <v>23</v>
      </c>
      <c r="F112" s="3" t="s">
        <v>24</v>
      </c>
      <c r="G112" s="3" t="n">
        <v>7</v>
      </c>
      <c r="H112" s="3" t="n">
        <v>1499</v>
      </c>
      <c r="I112" s="3" t="n">
        <f aca="false">G112*H112</f>
        <v>10493</v>
      </c>
    </row>
    <row r="113" customFormat="false" ht="15" hidden="false" customHeight="false" outlineLevel="0" collapsed="false">
      <c r="A113" s="3" t="s">
        <v>355</v>
      </c>
      <c r="B113" s="3" t="s">
        <v>1079</v>
      </c>
      <c r="C113" s="3" t="s">
        <v>45</v>
      </c>
      <c r="D113" s="3" t="s">
        <v>12</v>
      </c>
      <c r="E113" s="3" t="s">
        <v>13</v>
      </c>
      <c r="F113" s="3" t="s">
        <v>24</v>
      </c>
      <c r="G113" s="3" t="n">
        <v>14</v>
      </c>
      <c r="H113" s="3" t="n">
        <v>499</v>
      </c>
      <c r="I113" s="3" t="n">
        <f aca="false">G113*H113</f>
        <v>6986</v>
      </c>
    </row>
    <row r="114" customFormat="false" ht="15" hidden="false" customHeight="false" outlineLevel="0" collapsed="false">
      <c r="A114" s="3" t="s">
        <v>969</v>
      </c>
      <c r="B114" s="3" t="s">
        <v>1080</v>
      </c>
      <c r="C114" s="3" t="s">
        <v>105</v>
      </c>
      <c r="D114" s="3" t="s">
        <v>32</v>
      </c>
      <c r="E114" s="3" t="s">
        <v>23</v>
      </c>
      <c r="F114" s="3" t="s">
        <v>42</v>
      </c>
      <c r="G114" s="3" t="n">
        <v>11</v>
      </c>
      <c r="H114" s="3" t="n">
        <v>1799</v>
      </c>
      <c r="I114" s="3" t="n">
        <f aca="false">G114*H114</f>
        <v>19789</v>
      </c>
    </row>
    <row r="115" customFormat="false" ht="15" hidden="false" customHeight="false" outlineLevel="0" collapsed="false">
      <c r="A115" s="3" t="s">
        <v>89</v>
      </c>
      <c r="B115" s="3" t="s">
        <v>1080</v>
      </c>
      <c r="C115" s="3" t="s">
        <v>21</v>
      </c>
      <c r="D115" s="3" t="s">
        <v>22</v>
      </c>
      <c r="E115" s="3" t="s">
        <v>23</v>
      </c>
      <c r="F115" s="3" t="s">
        <v>28</v>
      </c>
      <c r="G115" s="3" t="n">
        <v>1</v>
      </c>
      <c r="H115" s="3" t="n">
        <v>699</v>
      </c>
      <c r="I115" s="3" t="n">
        <f aca="false">G115*H115</f>
        <v>699</v>
      </c>
    </row>
    <row r="116" customFormat="false" ht="15" hidden="false" customHeight="false" outlineLevel="0" collapsed="false">
      <c r="A116" s="3" t="s">
        <v>200</v>
      </c>
      <c r="B116" s="3" t="s">
        <v>1080</v>
      </c>
      <c r="C116" s="3" t="s">
        <v>45</v>
      </c>
      <c r="D116" s="3" t="s">
        <v>12</v>
      </c>
      <c r="E116" s="3" t="s">
        <v>23</v>
      </c>
      <c r="F116" s="3" t="s">
        <v>35</v>
      </c>
      <c r="G116" s="3" t="n">
        <v>11</v>
      </c>
      <c r="H116" s="3" t="n">
        <v>499</v>
      </c>
      <c r="I116" s="3" t="n">
        <f aca="false">G116*H116</f>
        <v>5489</v>
      </c>
    </row>
    <row r="117" customFormat="false" ht="15" hidden="false" customHeight="false" outlineLevel="0" collapsed="false">
      <c r="A117" s="3" t="s">
        <v>628</v>
      </c>
      <c r="B117" s="3" t="s">
        <v>1081</v>
      </c>
      <c r="C117" s="3" t="s">
        <v>45</v>
      </c>
      <c r="D117" s="3" t="s">
        <v>12</v>
      </c>
      <c r="E117" s="3" t="s">
        <v>41</v>
      </c>
      <c r="F117" s="3" t="s">
        <v>18</v>
      </c>
      <c r="G117" s="3" t="n">
        <v>9</v>
      </c>
      <c r="H117" s="3" t="n">
        <v>499</v>
      </c>
      <c r="I117" s="3" t="n">
        <f aca="false">G117*H117</f>
        <v>4491</v>
      </c>
    </row>
    <row r="118" customFormat="false" ht="15" hidden="false" customHeight="false" outlineLevel="0" collapsed="false">
      <c r="A118" s="3" t="s">
        <v>290</v>
      </c>
      <c r="B118" s="3" t="s">
        <v>1081</v>
      </c>
      <c r="C118" s="3" t="s">
        <v>38</v>
      </c>
      <c r="D118" s="3" t="s">
        <v>32</v>
      </c>
      <c r="E118" s="3" t="s">
        <v>23</v>
      </c>
      <c r="F118" s="3" t="s">
        <v>42</v>
      </c>
      <c r="G118" s="3" t="n">
        <v>7</v>
      </c>
      <c r="H118" s="3" t="n">
        <v>1999</v>
      </c>
      <c r="I118" s="3" t="n">
        <f aca="false">G118*H118</f>
        <v>13993</v>
      </c>
    </row>
    <row r="119" customFormat="false" ht="15" hidden="false" customHeight="false" outlineLevel="0" collapsed="false">
      <c r="A119" s="3" t="s">
        <v>694</v>
      </c>
      <c r="B119" s="3" t="s">
        <v>1081</v>
      </c>
      <c r="C119" s="3" t="s">
        <v>45</v>
      </c>
      <c r="D119" s="3" t="s">
        <v>12</v>
      </c>
      <c r="E119" s="3" t="s">
        <v>23</v>
      </c>
      <c r="F119" s="3" t="s">
        <v>35</v>
      </c>
      <c r="G119" s="3" t="n">
        <v>13</v>
      </c>
      <c r="H119" s="3" t="n">
        <v>499</v>
      </c>
      <c r="I119" s="3" t="n">
        <f aca="false">G119*H119</f>
        <v>6487</v>
      </c>
    </row>
    <row r="120" customFormat="false" ht="15" hidden="false" customHeight="false" outlineLevel="0" collapsed="false">
      <c r="A120" s="3" t="s">
        <v>786</v>
      </c>
      <c r="B120" s="3" t="s">
        <v>1082</v>
      </c>
      <c r="C120" s="3" t="s">
        <v>27</v>
      </c>
      <c r="D120" s="3" t="s">
        <v>22</v>
      </c>
      <c r="E120" s="3" t="s">
        <v>41</v>
      </c>
      <c r="F120" s="3" t="s">
        <v>35</v>
      </c>
      <c r="G120" s="3" t="n">
        <v>2</v>
      </c>
      <c r="H120" s="3" t="n">
        <v>899</v>
      </c>
      <c r="I120" s="3" t="n">
        <f aca="false">G120*H120</f>
        <v>1798</v>
      </c>
    </row>
    <row r="121" customFormat="false" ht="15" hidden="false" customHeight="false" outlineLevel="0" collapsed="false">
      <c r="A121" s="3" t="s">
        <v>331</v>
      </c>
      <c r="B121" s="3" t="s">
        <v>1083</v>
      </c>
      <c r="C121" s="3" t="s">
        <v>105</v>
      </c>
      <c r="D121" s="3" t="s">
        <v>32</v>
      </c>
      <c r="E121" s="3" t="s">
        <v>56</v>
      </c>
      <c r="F121" s="3" t="s">
        <v>18</v>
      </c>
      <c r="G121" s="3" t="n">
        <v>4</v>
      </c>
      <c r="H121" s="3" t="n">
        <v>1799</v>
      </c>
      <c r="I121" s="3" t="n">
        <f aca="false">G121*H121</f>
        <v>7196</v>
      </c>
    </row>
    <row r="122" customFormat="false" ht="15" hidden="false" customHeight="false" outlineLevel="0" collapsed="false">
      <c r="A122" s="3" t="s">
        <v>899</v>
      </c>
      <c r="B122" s="3" t="s">
        <v>1083</v>
      </c>
      <c r="C122" s="3" t="s">
        <v>16</v>
      </c>
      <c r="D122" s="3" t="s">
        <v>12</v>
      </c>
      <c r="E122" s="3" t="s">
        <v>41</v>
      </c>
      <c r="F122" s="3" t="s">
        <v>18</v>
      </c>
      <c r="G122" s="3" t="n">
        <v>4</v>
      </c>
      <c r="H122" s="3" t="n">
        <v>2499</v>
      </c>
      <c r="I122" s="3" t="n">
        <f aca="false">G122*H122</f>
        <v>9996</v>
      </c>
    </row>
    <row r="123" customFormat="false" ht="15" hidden="false" customHeight="false" outlineLevel="0" collapsed="false">
      <c r="A123" s="3" t="s">
        <v>101</v>
      </c>
      <c r="B123" s="3" t="s">
        <v>1084</v>
      </c>
      <c r="C123" s="3" t="s">
        <v>16</v>
      </c>
      <c r="D123" s="3" t="s">
        <v>12</v>
      </c>
      <c r="E123" s="3" t="s">
        <v>56</v>
      </c>
      <c r="F123" s="3" t="s">
        <v>18</v>
      </c>
      <c r="G123" s="3" t="n">
        <v>2</v>
      </c>
      <c r="H123" s="3" t="n">
        <v>2499</v>
      </c>
      <c r="I123" s="3" t="n">
        <f aca="false">G123*H123</f>
        <v>4998</v>
      </c>
    </row>
    <row r="124" customFormat="false" ht="15" hidden="false" customHeight="false" outlineLevel="0" collapsed="false">
      <c r="A124" s="3" t="s">
        <v>621</v>
      </c>
      <c r="B124" s="3" t="s">
        <v>1085</v>
      </c>
      <c r="C124" s="3" t="s">
        <v>16</v>
      </c>
      <c r="D124" s="3" t="s">
        <v>12</v>
      </c>
      <c r="E124" s="3" t="s">
        <v>13</v>
      </c>
      <c r="F124" s="3" t="s">
        <v>24</v>
      </c>
      <c r="G124" s="3" t="n">
        <v>5</v>
      </c>
      <c r="H124" s="3" t="n">
        <v>2499</v>
      </c>
      <c r="I124" s="3" t="n">
        <f aca="false">G124*H124</f>
        <v>12495</v>
      </c>
    </row>
    <row r="125" customFormat="false" ht="15" hidden="false" customHeight="false" outlineLevel="0" collapsed="false">
      <c r="A125" s="3" t="s">
        <v>832</v>
      </c>
      <c r="B125" s="3" t="s">
        <v>1085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n">
        <v>10</v>
      </c>
      <c r="H125" s="3" t="n">
        <v>699</v>
      </c>
      <c r="I125" s="3" t="n">
        <f aca="false">G125*H125</f>
        <v>6990</v>
      </c>
    </row>
    <row r="126" customFormat="false" ht="15" hidden="false" customHeight="false" outlineLevel="0" collapsed="false">
      <c r="A126" s="3" t="s">
        <v>236</v>
      </c>
      <c r="B126" s="3" t="s">
        <v>1085</v>
      </c>
      <c r="C126" s="3" t="s">
        <v>16</v>
      </c>
      <c r="D126" s="3" t="s">
        <v>12</v>
      </c>
      <c r="E126" s="3" t="s">
        <v>41</v>
      </c>
      <c r="F126" s="3" t="s">
        <v>35</v>
      </c>
      <c r="G126" s="3" t="n">
        <v>7</v>
      </c>
      <c r="H126" s="3" t="n">
        <v>2499</v>
      </c>
      <c r="I126" s="3" t="n">
        <f aca="false">G126*H126</f>
        <v>17493</v>
      </c>
    </row>
    <row r="127" customFormat="false" ht="15" hidden="false" customHeight="false" outlineLevel="0" collapsed="false">
      <c r="A127" s="3" t="s">
        <v>395</v>
      </c>
      <c r="B127" s="3" t="s">
        <v>1085</v>
      </c>
      <c r="C127" s="3" t="s">
        <v>75</v>
      </c>
      <c r="D127" s="3" t="s">
        <v>32</v>
      </c>
      <c r="E127" s="3" t="s">
        <v>23</v>
      </c>
      <c r="F127" s="3" t="s">
        <v>42</v>
      </c>
      <c r="G127" s="3" t="n">
        <v>6</v>
      </c>
      <c r="H127" s="3" t="n">
        <v>8999</v>
      </c>
      <c r="I127" s="3" t="n">
        <f aca="false">G127*H127</f>
        <v>53994</v>
      </c>
    </row>
    <row r="128" customFormat="false" ht="15" hidden="false" customHeight="false" outlineLevel="0" collapsed="false">
      <c r="A128" s="3" t="s">
        <v>784</v>
      </c>
      <c r="B128" s="3" t="s">
        <v>1086</v>
      </c>
      <c r="C128" s="3" t="s">
        <v>31</v>
      </c>
      <c r="D128" s="3" t="s">
        <v>32</v>
      </c>
      <c r="E128" s="3" t="s">
        <v>13</v>
      </c>
      <c r="F128" s="3" t="s">
        <v>24</v>
      </c>
      <c r="G128" s="3" t="n">
        <v>2</v>
      </c>
      <c r="H128" s="3" t="n">
        <v>1499</v>
      </c>
      <c r="I128" s="3" t="n">
        <f aca="false">G128*H128</f>
        <v>2998</v>
      </c>
    </row>
    <row r="129" customFormat="false" ht="15" hidden="false" customHeight="false" outlineLevel="0" collapsed="false">
      <c r="A129" s="3" t="s">
        <v>928</v>
      </c>
      <c r="B129" s="3" t="s">
        <v>1086</v>
      </c>
      <c r="C129" s="3" t="s">
        <v>105</v>
      </c>
      <c r="D129" s="3" t="s">
        <v>32</v>
      </c>
      <c r="E129" s="3" t="s">
        <v>56</v>
      </c>
      <c r="F129" s="3" t="s">
        <v>28</v>
      </c>
      <c r="G129" s="3" t="n">
        <v>13</v>
      </c>
      <c r="H129" s="3" t="n">
        <v>1799</v>
      </c>
      <c r="I129" s="3" t="n">
        <f aca="false">G129*H129</f>
        <v>23387</v>
      </c>
    </row>
    <row r="130" customFormat="false" ht="15" hidden="false" customHeight="false" outlineLevel="0" collapsed="false">
      <c r="A130" s="3" t="s">
        <v>165</v>
      </c>
      <c r="B130" s="3" t="s">
        <v>1086</v>
      </c>
      <c r="C130" s="3" t="s">
        <v>38</v>
      </c>
      <c r="D130" s="3" t="s">
        <v>32</v>
      </c>
      <c r="E130" s="3" t="s">
        <v>13</v>
      </c>
      <c r="F130" s="3" t="s">
        <v>42</v>
      </c>
      <c r="G130" s="3" t="n">
        <v>13</v>
      </c>
      <c r="H130" s="3" t="n">
        <v>1999</v>
      </c>
      <c r="I130" s="3" t="n">
        <f aca="false">G130*H130</f>
        <v>25987</v>
      </c>
    </row>
    <row r="131" customFormat="false" ht="15" hidden="false" customHeight="false" outlineLevel="0" collapsed="false">
      <c r="A131" s="3" t="s">
        <v>659</v>
      </c>
      <c r="B131" s="3" t="s">
        <v>1087</v>
      </c>
      <c r="C131" s="3" t="s">
        <v>75</v>
      </c>
      <c r="D131" s="3" t="s">
        <v>32</v>
      </c>
      <c r="E131" s="3" t="s">
        <v>41</v>
      </c>
      <c r="F131" s="3" t="s">
        <v>42</v>
      </c>
      <c r="G131" s="3" t="n">
        <v>5</v>
      </c>
      <c r="H131" s="3" t="n">
        <v>8999</v>
      </c>
      <c r="I131" s="3" t="n">
        <f aca="false">G131*H131</f>
        <v>44995</v>
      </c>
    </row>
    <row r="132" customFormat="false" ht="15" hidden="false" customHeight="false" outlineLevel="0" collapsed="false">
      <c r="A132" s="3" t="s">
        <v>993</v>
      </c>
      <c r="B132" s="3" t="s">
        <v>1087</v>
      </c>
      <c r="C132" s="3" t="s">
        <v>93</v>
      </c>
      <c r="D132" s="3" t="s">
        <v>12</v>
      </c>
      <c r="E132" s="3" t="s">
        <v>56</v>
      </c>
      <c r="F132" s="3" t="s">
        <v>42</v>
      </c>
      <c r="G132" s="3" t="n">
        <v>7</v>
      </c>
      <c r="H132" s="3" t="n">
        <v>1299</v>
      </c>
      <c r="I132" s="3" t="n">
        <f aca="false">G132*H132</f>
        <v>9093</v>
      </c>
    </row>
    <row r="133" customFormat="false" ht="15" hidden="false" customHeight="false" outlineLevel="0" collapsed="false">
      <c r="A133" s="3" t="s">
        <v>309</v>
      </c>
      <c r="B133" s="3" t="s">
        <v>1088</v>
      </c>
      <c r="C133" s="3" t="s">
        <v>55</v>
      </c>
      <c r="D133" s="3" t="s">
        <v>12</v>
      </c>
      <c r="E133" s="3" t="s">
        <v>56</v>
      </c>
      <c r="F133" s="3" t="s">
        <v>42</v>
      </c>
      <c r="G133" s="3" t="n">
        <v>9</v>
      </c>
      <c r="H133" s="3" t="n">
        <v>299</v>
      </c>
      <c r="I133" s="3" t="n">
        <f aca="false">G133*H133</f>
        <v>2691</v>
      </c>
    </row>
    <row r="134" customFormat="false" ht="15" hidden="false" customHeight="false" outlineLevel="0" collapsed="false">
      <c r="A134" s="3" t="s">
        <v>725</v>
      </c>
      <c r="B134" s="3" t="s">
        <v>1088</v>
      </c>
      <c r="C134" s="3" t="s">
        <v>55</v>
      </c>
      <c r="D134" s="3" t="s">
        <v>12</v>
      </c>
      <c r="E134" s="3" t="s">
        <v>23</v>
      </c>
      <c r="F134" s="3" t="s">
        <v>24</v>
      </c>
      <c r="G134" s="3" t="n">
        <v>14</v>
      </c>
      <c r="H134" s="3" t="n">
        <v>299</v>
      </c>
      <c r="I134" s="3" t="n">
        <f aca="false">G134*H134</f>
        <v>4186</v>
      </c>
    </row>
    <row r="135" customFormat="false" ht="15" hidden="false" customHeight="false" outlineLevel="0" collapsed="false">
      <c r="A135" s="3" t="s">
        <v>307</v>
      </c>
      <c r="B135" s="3" t="s">
        <v>1089</v>
      </c>
      <c r="C135" s="3" t="s">
        <v>16</v>
      </c>
      <c r="D135" s="3" t="s">
        <v>12</v>
      </c>
      <c r="E135" s="3" t="s">
        <v>56</v>
      </c>
      <c r="F135" s="3" t="s">
        <v>35</v>
      </c>
      <c r="G135" s="3" t="n">
        <v>6</v>
      </c>
      <c r="H135" s="3" t="n">
        <v>2499</v>
      </c>
      <c r="I135" s="3" t="n">
        <f aca="false">G135*H135</f>
        <v>14994</v>
      </c>
    </row>
    <row r="136" customFormat="false" ht="15" hidden="false" customHeight="false" outlineLevel="0" collapsed="false">
      <c r="A136" s="3" t="s">
        <v>464</v>
      </c>
      <c r="B136" s="3" t="s">
        <v>1089</v>
      </c>
      <c r="C136" s="3" t="s">
        <v>45</v>
      </c>
      <c r="D136" s="3" t="s">
        <v>12</v>
      </c>
      <c r="E136" s="3" t="s">
        <v>13</v>
      </c>
      <c r="F136" s="3" t="s">
        <v>42</v>
      </c>
      <c r="G136" s="3" t="n">
        <v>7</v>
      </c>
      <c r="H136" s="3" t="n">
        <v>499</v>
      </c>
      <c r="I136" s="3" t="n">
        <f aca="false">G136*H136</f>
        <v>3493</v>
      </c>
    </row>
    <row r="137" customFormat="false" ht="15" hidden="false" customHeight="false" outlineLevel="0" collapsed="false">
      <c r="A137" s="3" t="s">
        <v>114</v>
      </c>
      <c r="B137" s="3" t="s">
        <v>1089</v>
      </c>
      <c r="C137" s="3" t="s">
        <v>16</v>
      </c>
      <c r="D137" s="3" t="s">
        <v>12</v>
      </c>
      <c r="E137" s="3" t="s">
        <v>23</v>
      </c>
      <c r="F137" s="3" t="s">
        <v>42</v>
      </c>
      <c r="G137" s="3" t="n">
        <v>13</v>
      </c>
      <c r="H137" s="3" t="n">
        <v>2499</v>
      </c>
      <c r="I137" s="3" t="n">
        <f aca="false">G137*H137</f>
        <v>32487</v>
      </c>
    </row>
    <row r="138" customFormat="false" ht="15" hidden="false" customHeight="false" outlineLevel="0" collapsed="false">
      <c r="A138" s="3" t="s">
        <v>173</v>
      </c>
      <c r="B138" s="3" t="s">
        <v>1090</v>
      </c>
      <c r="C138" s="3" t="s">
        <v>38</v>
      </c>
      <c r="D138" s="3" t="s">
        <v>32</v>
      </c>
      <c r="E138" s="3" t="s">
        <v>56</v>
      </c>
      <c r="F138" s="3" t="s">
        <v>18</v>
      </c>
      <c r="G138" s="3" t="n">
        <v>2</v>
      </c>
      <c r="H138" s="3" t="n">
        <v>1999</v>
      </c>
      <c r="I138" s="3" t="n">
        <f aca="false">G138*H138</f>
        <v>3998</v>
      </c>
    </row>
    <row r="139" customFormat="false" ht="15" hidden="false" customHeight="false" outlineLevel="0" collapsed="false">
      <c r="A139" s="3" t="s">
        <v>708</v>
      </c>
      <c r="B139" s="3" t="s">
        <v>1091</v>
      </c>
      <c r="C139" s="3" t="s">
        <v>75</v>
      </c>
      <c r="D139" s="3" t="s">
        <v>32</v>
      </c>
      <c r="E139" s="3" t="s">
        <v>13</v>
      </c>
      <c r="F139" s="3" t="s">
        <v>24</v>
      </c>
      <c r="G139" s="3" t="n">
        <v>2</v>
      </c>
      <c r="H139" s="3" t="n">
        <v>8999</v>
      </c>
      <c r="I139" s="3" t="n">
        <f aca="false">G139*H139</f>
        <v>17998</v>
      </c>
    </row>
    <row r="140" customFormat="false" ht="15" hidden="false" customHeight="false" outlineLevel="0" collapsed="false">
      <c r="A140" s="3" t="s">
        <v>288</v>
      </c>
      <c r="B140" s="3" t="s">
        <v>1092</v>
      </c>
      <c r="C140" s="3" t="s">
        <v>93</v>
      </c>
      <c r="D140" s="3" t="s">
        <v>12</v>
      </c>
      <c r="E140" s="3" t="s">
        <v>13</v>
      </c>
      <c r="F140" s="3" t="s">
        <v>1041</v>
      </c>
      <c r="G140" s="3" t="n">
        <v>9</v>
      </c>
      <c r="H140" s="3" t="n">
        <v>1299</v>
      </c>
      <c r="I140" s="3" t="n">
        <f aca="false">G140*H140</f>
        <v>11691</v>
      </c>
    </row>
    <row r="141" customFormat="false" ht="15" hidden="false" customHeight="false" outlineLevel="0" collapsed="false">
      <c r="A141" s="3" t="s">
        <v>266</v>
      </c>
      <c r="B141" s="3" t="s">
        <v>1093</v>
      </c>
      <c r="C141" s="3" t="s">
        <v>38</v>
      </c>
      <c r="D141" s="3" t="s">
        <v>32</v>
      </c>
      <c r="E141" s="3" t="s">
        <v>13</v>
      </c>
      <c r="F141" s="3" t="s">
        <v>35</v>
      </c>
      <c r="G141" s="3" t="n">
        <v>10</v>
      </c>
      <c r="H141" s="3" t="n">
        <v>1999</v>
      </c>
      <c r="I141" s="3" t="n">
        <f aca="false">G141*H141</f>
        <v>19990</v>
      </c>
    </row>
    <row r="142" customFormat="false" ht="15" hidden="false" customHeight="false" outlineLevel="0" collapsed="false">
      <c r="A142" s="3" t="s">
        <v>598</v>
      </c>
      <c r="B142" s="3" t="s">
        <v>1093</v>
      </c>
      <c r="C142" s="3" t="s">
        <v>55</v>
      </c>
      <c r="D142" s="3" t="s">
        <v>12</v>
      </c>
      <c r="E142" s="3" t="s">
        <v>13</v>
      </c>
      <c r="F142" s="3" t="s">
        <v>42</v>
      </c>
      <c r="G142" s="3" t="n">
        <v>2</v>
      </c>
      <c r="H142" s="3" t="n">
        <v>299</v>
      </c>
      <c r="I142" s="3" t="n">
        <f aca="false">G142*H142</f>
        <v>598</v>
      </c>
    </row>
    <row r="143" customFormat="false" ht="15" hidden="false" customHeight="false" outlineLevel="0" collapsed="false">
      <c r="A143" s="3" t="s">
        <v>219</v>
      </c>
      <c r="B143" s="3" t="s">
        <v>1093</v>
      </c>
      <c r="C143" s="3" t="s">
        <v>93</v>
      </c>
      <c r="D143" s="3" t="s">
        <v>12</v>
      </c>
      <c r="E143" s="3" t="s">
        <v>13</v>
      </c>
      <c r="F143" s="3" t="s">
        <v>18</v>
      </c>
      <c r="G143" s="3" t="n">
        <v>10</v>
      </c>
      <c r="H143" s="3" t="n">
        <v>1299</v>
      </c>
      <c r="I143" s="3" t="n">
        <f aca="false">G143*H143</f>
        <v>12990</v>
      </c>
    </row>
    <row r="144" customFormat="false" ht="15" hidden="false" customHeight="false" outlineLevel="0" collapsed="false">
      <c r="A144" s="3" t="s">
        <v>795</v>
      </c>
      <c r="B144" s="3" t="s">
        <v>1094</v>
      </c>
      <c r="C144" s="3" t="s">
        <v>27</v>
      </c>
      <c r="D144" s="3" t="s">
        <v>22</v>
      </c>
      <c r="E144" s="3" t="s">
        <v>13</v>
      </c>
      <c r="F144" s="3" t="s">
        <v>18</v>
      </c>
      <c r="G144" s="3" t="n">
        <v>3</v>
      </c>
      <c r="H144" s="3" t="n">
        <v>899</v>
      </c>
      <c r="I144" s="3" t="n">
        <f aca="false">G144*H144</f>
        <v>2697</v>
      </c>
    </row>
    <row r="145" customFormat="false" ht="15" hidden="false" customHeight="false" outlineLevel="0" collapsed="false">
      <c r="A145" s="3" t="s">
        <v>502</v>
      </c>
      <c r="B145" s="3" t="s">
        <v>1094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n">
        <v>1</v>
      </c>
      <c r="H145" s="3" t="n">
        <v>699</v>
      </c>
      <c r="I145" s="3" t="n">
        <f aca="false">G145*H145</f>
        <v>699</v>
      </c>
    </row>
    <row r="146" customFormat="false" ht="15" hidden="false" customHeight="false" outlineLevel="0" collapsed="false">
      <c r="A146" s="3" t="s">
        <v>577</v>
      </c>
      <c r="B146" s="3" t="s">
        <v>1094</v>
      </c>
      <c r="C146" s="3" t="s">
        <v>105</v>
      </c>
      <c r="D146" s="3" t="s">
        <v>32</v>
      </c>
      <c r="E146" s="3" t="s">
        <v>41</v>
      </c>
      <c r="F146" s="3" t="s">
        <v>18</v>
      </c>
      <c r="G146" s="3" t="n">
        <v>14</v>
      </c>
      <c r="H146" s="3" t="n">
        <v>1799</v>
      </c>
      <c r="I146" s="3" t="n">
        <f aca="false">G146*H146</f>
        <v>25186</v>
      </c>
    </row>
    <row r="147" customFormat="false" ht="15" hidden="false" customHeight="false" outlineLevel="0" collapsed="false">
      <c r="A147" s="3" t="s">
        <v>87</v>
      </c>
      <c r="B147" s="3" t="s">
        <v>1094</v>
      </c>
      <c r="C147" s="3" t="s">
        <v>16</v>
      </c>
      <c r="D147" s="3" t="s">
        <v>12</v>
      </c>
      <c r="E147" s="3" t="s">
        <v>41</v>
      </c>
      <c r="F147" s="3" t="s">
        <v>28</v>
      </c>
      <c r="G147" s="3" t="n">
        <v>11</v>
      </c>
      <c r="H147" s="3" t="n">
        <v>2499</v>
      </c>
      <c r="I147" s="3" t="n">
        <f aca="false">G147*H147</f>
        <v>27489</v>
      </c>
    </row>
    <row r="148" customFormat="false" ht="15" hidden="false" customHeight="false" outlineLevel="0" collapsed="false">
      <c r="A148" s="3" t="s">
        <v>183</v>
      </c>
      <c r="B148" s="3" t="s">
        <v>1095</v>
      </c>
      <c r="C148" s="3" t="s">
        <v>38</v>
      </c>
      <c r="D148" s="3" t="s">
        <v>32</v>
      </c>
      <c r="E148" s="3" t="s">
        <v>13</v>
      </c>
      <c r="F148" s="3" t="s">
        <v>1041</v>
      </c>
      <c r="G148" s="3" t="n">
        <v>9</v>
      </c>
      <c r="H148" s="3" t="n">
        <v>1999</v>
      </c>
      <c r="I148" s="3" t="n">
        <f aca="false">G148*H148</f>
        <v>17991</v>
      </c>
    </row>
    <row r="149" customFormat="false" ht="15" hidden="false" customHeight="false" outlineLevel="0" collapsed="false">
      <c r="A149" s="3" t="s">
        <v>849</v>
      </c>
      <c r="B149" s="3" t="s">
        <v>1095</v>
      </c>
      <c r="C149" s="3" t="s">
        <v>105</v>
      </c>
      <c r="D149" s="3" t="s">
        <v>32</v>
      </c>
      <c r="E149" s="3" t="s">
        <v>41</v>
      </c>
      <c r="F149" s="3" t="s">
        <v>28</v>
      </c>
      <c r="G149" s="3" t="n">
        <v>12</v>
      </c>
      <c r="H149" s="3" t="n">
        <v>1799</v>
      </c>
      <c r="I149" s="3" t="n">
        <f aca="false">G149*H149</f>
        <v>21588</v>
      </c>
    </row>
    <row r="150" customFormat="false" ht="15" hidden="false" customHeight="false" outlineLevel="0" collapsed="false">
      <c r="A150" s="3" t="s">
        <v>215</v>
      </c>
      <c r="B150" s="3" t="s">
        <v>1096</v>
      </c>
      <c r="C150" s="3" t="s">
        <v>105</v>
      </c>
      <c r="D150" s="3" t="s">
        <v>32</v>
      </c>
      <c r="E150" s="3" t="s">
        <v>23</v>
      </c>
      <c r="F150" s="3" t="s">
        <v>24</v>
      </c>
      <c r="G150" s="3" t="n">
        <v>8</v>
      </c>
      <c r="H150" s="3" t="n">
        <v>1799</v>
      </c>
      <c r="I150" s="3" t="n">
        <f aca="false">G150*H150</f>
        <v>14392</v>
      </c>
    </row>
    <row r="151" customFormat="false" ht="15" hidden="false" customHeight="false" outlineLevel="0" collapsed="false">
      <c r="A151" s="3" t="s">
        <v>549</v>
      </c>
      <c r="B151" s="3" t="s">
        <v>1096</v>
      </c>
      <c r="C151" s="3" t="s">
        <v>105</v>
      </c>
      <c r="D151" s="3" t="s">
        <v>32</v>
      </c>
      <c r="E151" s="3" t="s">
        <v>56</v>
      </c>
      <c r="F151" s="3" t="s">
        <v>18</v>
      </c>
      <c r="G151" s="3" t="n">
        <v>14</v>
      </c>
      <c r="H151" s="3" t="n">
        <v>1799</v>
      </c>
      <c r="I151" s="3" t="n">
        <f aca="false">G151*H151</f>
        <v>25186</v>
      </c>
    </row>
    <row r="152" customFormat="false" ht="15" hidden="false" customHeight="false" outlineLevel="0" collapsed="false">
      <c r="A152" s="3" t="s">
        <v>912</v>
      </c>
      <c r="B152" s="3" t="s">
        <v>1097</v>
      </c>
      <c r="C152" s="3" t="s">
        <v>105</v>
      </c>
      <c r="D152" s="3" t="s">
        <v>32</v>
      </c>
      <c r="E152" s="3" t="s">
        <v>13</v>
      </c>
      <c r="F152" s="3" t="s">
        <v>42</v>
      </c>
      <c r="G152" s="3" t="n">
        <v>6</v>
      </c>
      <c r="H152" s="3" t="n">
        <v>1799</v>
      </c>
      <c r="I152" s="3" t="n">
        <f aca="false">G152*H152</f>
        <v>10794</v>
      </c>
    </row>
    <row r="153" customFormat="false" ht="15" hidden="false" customHeight="false" outlineLevel="0" collapsed="false">
      <c r="A153" s="3" t="s">
        <v>426</v>
      </c>
      <c r="B153" s="3" t="s">
        <v>1097</v>
      </c>
      <c r="C153" s="3" t="s">
        <v>105</v>
      </c>
      <c r="D153" s="3" t="s">
        <v>32</v>
      </c>
      <c r="E153" s="3" t="s">
        <v>56</v>
      </c>
      <c r="F153" s="3" t="s">
        <v>28</v>
      </c>
      <c r="G153" s="3" t="n">
        <v>11</v>
      </c>
      <c r="H153" s="3" t="n">
        <v>1799</v>
      </c>
      <c r="I153" s="3" t="n">
        <f aca="false">G153*H153</f>
        <v>19789</v>
      </c>
    </row>
    <row r="154" customFormat="false" ht="15" hidden="false" customHeight="false" outlineLevel="0" collapsed="false">
      <c r="A154" s="3" t="s">
        <v>932</v>
      </c>
      <c r="B154" s="3" t="s">
        <v>1098</v>
      </c>
      <c r="C154" s="3" t="s">
        <v>93</v>
      </c>
      <c r="D154" s="3" t="s">
        <v>12</v>
      </c>
      <c r="E154" s="3" t="s">
        <v>23</v>
      </c>
      <c r="F154" s="3" t="s">
        <v>42</v>
      </c>
      <c r="G154" s="3" t="n">
        <v>2</v>
      </c>
      <c r="H154" s="3" t="n">
        <v>1299</v>
      </c>
      <c r="I154" s="3" t="n">
        <f aca="false">G154*H154</f>
        <v>2598</v>
      </c>
    </row>
    <row r="155" customFormat="false" ht="15" hidden="false" customHeight="false" outlineLevel="0" collapsed="false">
      <c r="A155" s="3" t="s">
        <v>399</v>
      </c>
      <c r="B155" s="3" t="s">
        <v>1098</v>
      </c>
      <c r="C155" s="3" t="s">
        <v>93</v>
      </c>
      <c r="D155" s="3" t="s">
        <v>12</v>
      </c>
      <c r="E155" s="3" t="s">
        <v>56</v>
      </c>
      <c r="F155" s="3" t="s">
        <v>28</v>
      </c>
      <c r="G155" s="3" t="n">
        <v>10</v>
      </c>
      <c r="H155" s="3" t="n">
        <v>1299</v>
      </c>
      <c r="I155" s="3" t="n">
        <f aca="false">G155*H155</f>
        <v>12990</v>
      </c>
    </row>
    <row r="156" customFormat="false" ht="15" hidden="false" customHeight="false" outlineLevel="0" collapsed="false">
      <c r="A156" s="3" t="s">
        <v>851</v>
      </c>
      <c r="B156" s="3" t="s">
        <v>1098</v>
      </c>
      <c r="C156" s="3" t="s">
        <v>55</v>
      </c>
      <c r="D156" s="3" t="s">
        <v>12</v>
      </c>
      <c r="E156" s="3" t="s">
        <v>41</v>
      </c>
      <c r="F156" s="3" t="s">
        <v>24</v>
      </c>
      <c r="G156" s="3" t="n">
        <v>11</v>
      </c>
      <c r="H156" s="3" t="n">
        <v>299</v>
      </c>
      <c r="I156" s="3" t="n">
        <f aca="false">G156*H156</f>
        <v>3289</v>
      </c>
    </row>
    <row r="157" customFormat="false" ht="15" hidden="false" customHeight="false" outlineLevel="0" collapsed="false">
      <c r="A157" s="3" t="s">
        <v>827</v>
      </c>
      <c r="B157" s="3" t="s">
        <v>1098</v>
      </c>
      <c r="C157" s="3" t="s">
        <v>21</v>
      </c>
      <c r="D157" s="3" t="s">
        <v>22</v>
      </c>
      <c r="E157" s="3" t="s">
        <v>13</v>
      </c>
      <c r="F157" s="3" t="s">
        <v>28</v>
      </c>
      <c r="G157" s="3" t="n">
        <v>9</v>
      </c>
      <c r="H157" s="3" t="n">
        <v>699</v>
      </c>
      <c r="I157" s="3" t="n">
        <f aca="false">G157*H157</f>
        <v>6291</v>
      </c>
    </row>
    <row r="158" customFormat="false" ht="15" hidden="false" customHeight="false" outlineLevel="0" collapsed="false">
      <c r="A158" s="3" t="s">
        <v>73</v>
      </c>
      <c r="B158" s="3" t="s">
        <v>1098</v>
      </c>
      <c r="C158" s="3" t="s">
        <v>75</v>
      </c>
      <c r="D158" s="3" t="s">
        <v>32</v>
      </c>
      <c r="E158" s="3" t="s">
        <v>56</v>
      </c>
      <c r="F158" s="3" t="s">
        <v>42</v>
      </c>
      <c r="G158" s="3" t="n">
        <v>14</v>
      </c>
      <c r="H158" s="3" t="n">
        <v>8999</v>
      </c>
      <c r="I158" s="3" t="n">
        <f aca="false">G158*H158</f>
        <v>125986</v>
      </c>
    </row>
    <row r="159" customFormat="false" ht="15" hidden="false" customHeight="false" outlineLevel="0" collapsed="false">
      <c r="A159" s="3" t="s">
        <v>201</v>
      </c>
      <c r="B159" s="3" t="s">
        <v>1099</v>
      </c>
      <c r="C159" s="3" t="s">
        <v>75</v>
      </c>
      <c r="D159" s="3" t="s">
        <v>32</v>
      </c>
      <c r="E159" s="3" t="s">
        <v>56</v>
      </c>
      <c r="F159" s="3" t="s">
        <v>28</v>
      </c>
      <c r="G159" s="3" t="n">
        <v>12</v>
      </c>
      <c r="H159" s="3" t="n">
        <v>8999</v>
      </c>
      <c r="I159" s="3" t="n">
        <f aca="false">G159*H159</f>
        <v>107988</v>
      </c>
    </row>
    <row r="160" customFormat="false" ht="15" hidden="false" customHeight="false" outlineLevel="0" collapsed="false">
      <c r="A160" s="3" t="s">
        <v>248</v>
      </c>
      <c r="B160" s="3" t="s">
        <v>1099</v>
      </c>
      <c r="C160" s="3" t="s">
        <v>27</v>
      </c>
      <c r="D160" s="3" t="s">
        <v>22</v>
      </c>
      <c r="E160" s="3" t="s">
        <v>56</v>
      </c>
      <c r="F160" s="3" t="s">
        <v>42</v>
      </c>
      <c r="G160" s="3" t="n">
        <v>6</v>
      </c>
      <c r="H160" s="3" t="n">
        <v>899</v>
      </c>
      <c r="I160" s="3" t="n">
        <f aca="false">G160*H160</f>
        <v>5394</v>
      </c>
    </row>
    <row r="161" customFormat="false" ht="15" hidden="false" customHeight="false" outlineLevel="0" collapsed="false">
      <c r="A161" s="3" t="s">
        <v>349</v>
      </c>
      <c r="B161" s="3" t="s">
        <v>1099</v>
      </c>
      <c r="C161" s="3" t="s">
        <v>55</v>
      </c>
      <c r="D161" s="3" t="s">
        <v>12</v>
      </c>
      <c r="E161" s="3" t="s">
        <v>41</v>
      </c>
      <c r="F161" s="3" t="s">
        <v>42</v>
      </c>
      <c r="G161" s="3" t="n">
        <v>2</v>
      </c>
      <c r="H161" s="3" t="n">
        <v>299</v>
      </c>
      <c r="I161" s="3" t="n">
        <f aca="false">G161*H161</f>
        <v>598</v>
      </c>
    </row>
    <row r="162" customFormat="false" ht="15" hidden="false" customHeight="false" outlineLevel="0" collapsed="false">
      <c r="A162" s="3" t="s">
        <v>617</v>
      </c>
      <c r="B162" s="3" t="s">
        <v>1100</v>
      </c>
      <c r="C162" s="3" t="s">
        <v>27</v>
      </c>
      <c r="D162" s="3" t="s">
        <v>22</v>
      </c>
      <c r="E162" s="3" t="s">
        <v>13</v>
      </c>
      <c r="F162" s="3" t="s">
        <v>42</v>
      </c>
      <c r="G162" s="3" t="n">
        <v>4</v>
      </c>
      <c r="H162" s="3" t="n">
        <v>899</v>
      </c>
      <c r="I162" s="3" t="n">
        <f aca="false">G162*H162</f>
        <v>3596</v>
      </c>
    </row>
    <row r="163" customFormat="false" ht="15" hidden="false" customHeight="false" outlineLevel="0" collapsed="false">
      <c r="A163" s="3" t="s">
        <v>690</v>
      </c>
      <c r="B163" s="3" t="s">
        <v>1101</v>
      </c>
      <c r="C163" s="3" t="s">
        <v>31</v>
      </c>
      <c r="D163" s="3" t="s">
        <v>32</v>
      </c>
      <c r="E163" s="3" t="s">
        <v>56</v>
      </c>
      <c r="F163" s="3" t="s">
        <v>28</v>
      </c>
      <c r="G163" s="3" t="n">
        <v>8</v>
      </c>
      <c r="H163" s="3" t="n">
        <v>1499</v>
      </c>
      <c r="I163" s="3" t="n">
        <f aca="false">G163*H163</f>
        <v>11992</v>
      </c>
    </row>
    <row r="164" customFormat="false" ht="15" hidden="false" customHeight="false" outlineLevel="0" collapsed="false">
      <c r="A164" s="3" t="s">
        <v>97</v>
      </c>
      <c r="B164" s="3" t="s">
        <v>1101</v>
      </c>
      <c r="C164" s="3" t="s">
        <v>55</v>
      </c>
      <c r="D164" s="3" t="s">
        <v>12</v>
      </c>
      <c r="E164" s="3" t="s">
        <v>56</v>
      </c>
      <c r="F164" s="3" t="s">
        <v>35</v>
      </c>
      <c r="G164" s="3" t="n">
        <v>6</v>
      </c>
      <c r="H164" s="3" t="n">
        <v>299</v>
      </c>
      <c r="I164" s="3" t="n">
        <f aca="false">G164*H164</f>
        <v>1794</v>
      </c>
    </row>
    <row r="165" customFormat="false" ht="15" hidden="false" customHeight="false" outlineLevel="0" collapsed="false">
      <c r="A165" s="3" t="s">
        <v>361</v>
      </c>
      <c r="B165" s="3" t="s">
        <v>1101</v>
      </c>
      <c r="C165" s="3" t="s">
        <v>27</v>
      </c>
      <c r="D165" s="3" t="s">
        <v>22</v>
      </c>
      <c r="E165" s="3" t="s">
        <v>56</v>
      </c>
      <c r="F165" s="3" t="s">
        <v>42</v>
      </c>
      <c r="G165" s="3" t="n">
        <v>8</v>
      </c>
      <c r="H165" s="3" t="n">
        <v>899</v>
      </c>
      <c r="I165" s="3" t="n">
        <f aca="false">G165*H165</f>
        <v>7192</v>
      </c>
    </row>
    <row r="166" customFormat="false" ht="15" hidden="false" customHeight="false" outlineLevel="0" collapsed="false">
      <c r="A166" s="3" t="s">
        <v>513</v>
      </c>
      <c r="B166" s="3" t="s">
        <v>1102</v>
      </c>
      <c r="C166" s="3" t="s">
        <v>55</v>
      </c>
      <c r="D166" s="3" t="s">
        <v>12</v>
      </c>
      <c r="E166" s="3" t="s">
        <v>56</v>
      </c>
      <c r="F166" s="3" t="s">
        <v>28</v>
      </c>
      <c r="G166" s="3" t="n">
        <v>2</v>
      </c>
      <c r="H166" s="3" t="n">
        <v>299</v>
      </c>
      <c r="I166" s="3" t="n">
        <f aca="false">G166*H166</f>
        <v>598</v>
      </c>
    </row>
    <row r="167" customFormat="false" ht="15" hidden="false" customHeight="false" outlineLevel="0" collapsed="false">
      <c r="A167" s="3" t="s">
        <v>580</v>
      </c>
      <c r="B167" s="3" t="s">
        <v>1102</v>
      </c>
      <c r="C167" s="3" t="s">
        <v>75</v>
      </c>
      <c r="D167" s="3" t="s">
        <v>32</v>
      </c>
      <c r="E167" s="3" t="s">
        <v>23</v>
      </c>
      <c r="F167" s="3" t="s">
        <v>42</v>
      </c>
      <c r="G167" s="3" t="n">
        <v>3</v>
      </c>
      <c r="H167" s="3" t="n">
        <v>8999</v>
      </c>
      <c r="I167" s="3" t="n">
        <f aca="false">G167*H167</f>
        <v>26997</v>
      </c>
    </row>
    <row r="168" customFormat="false" ht="15" hidden="false" customHeight="false" outlineLevel="0" collapsed="false">
      <c r="A168" s="3" t="s">
        <v>841</v>
      </c>
      <c r="B168" s="3" t="s">
        <v>1102</v>
      </c>
      <c r="C168" s="3" t="s">
        <v>55</v>
      </c>
      <c r="D168" s="3" t="s">
        <v>12</v>
      </c>
      <c r="E168" s="3" t="s">
        <v>23</v>
      </c>
      <c r="F168" s="3" t="s">
        <v>24</v>
      </c>
      <c r="G168" s="3" t="n">
        <v>6</v>
      </c>
      <c r="H168" s="3" t="n">
        <v>299</v>
      </c>
      <c r="I168" s="3" t="n">
        <f aca="false">G168*H168</f>
        <v>1794</v>
      </c>
    </row>
    <row r="169" customFormat="false" ht="15" hidden="false" customHeight="false" outlineLevel="0" collapsed="false">
      <c r="A169" s="3" t="s">
        <v>775</v>
      </c>
      <c r="B169" s="3" t="s">
        <v>1102</v>
      </c>
      <c r="C169" s="3" t="s">
        <v>21</v>
      </c>
      <c r="D169" s="3" t="s">
        <v>22</v>
      </c>
      <c r="E169" s="3" t="s">
        <v>13</v>
      </c>
      <c r="F169" s="3" t="s">
        <v>28</v>
      </c>
      <c r="G169" s="3" t="n">
        <v>8</v>
      </c>
      <c r="H169" s="3" t="n">
        <v>699</v>
      </c>
      <c r="I169" s="3" t="n">
        <f aca="false">G169*H169</f>
        <v>5592</v>
      </c>
    </row>
    <row r="170" customFormat="false" ht="15" hidden="false" customHeight="false" outlineLevel="0" collapsed="false">
      <c r="A170" s="3" t="s">
        <v>434</v>
      </c>
      <c r="B170" s="3" t="s">
        <v>1103</v>
      </c>
      <c r="C170" s="3" t="s">
        <v>45</v>
      </c>
      <c r="D170" s="3" t="s">
        <v>12</v>
      </c>
      <c r="E170" s="3" t="s">
        <v>13</v>
      </c>
      <c r="F170" s="3" t="s">
        <v>42</v>
      </c>
      <c r="G170" s="3" t="n">
        <v>6</v>
      </c>
      <c r="H170" s="3" t="n">
        <v>499</v>
      </c>
      <c r="I170" s="3" t="n">
        <f aca="false">G170*H170</f>
        <v>2994</v>
      </c>
    </row>
    <row r="171" customFormat="false" ht="15" hidden="false" customHeight="false" outlineLevel="0" collapsed="false">
      <c r="A171" s="3" t="s">
        <v>494</v>
      </c>
      <c r="B171" s="3" t="s">
        <v>1104</v>
      </c>
      <c r="C171" s="3" t="s">
        <v>31</v>
      </c>
      <c r="D171" s="3" t="s">
        <v>32</v>
      </c>
      <c r="E171" s="3" t="s">
        <v>13</v>
      </c>
      <c r="F171" s="3" t="s">
        <v>35</v>
      </c>
      <c r="G171" s="3" t="n">
        <v>3</v>
      </c>
      <c r="H171" s="3" t="n">
        <v>1499</v>
      </c>
      <c r="I171" s="3" t="n">
        <f aca="false">G171*H171</f>
        <v>4497</v>
      </c>
    </row>
    <row r="172" customFormat="false" ht="15" hidden="false" customHeight="false" outlineLevel="0" collapsed="false">
      <c r="A172" s="3" t="s">
        <v>14</v>
      </c>
      <c r="B172" s="3" t="s">
        <v>1104</v>
      </c>
      <c r="C172" s="3" t="s">
        <v>16</v>
      </c>
      <c r="D172" s="3" t="s">
        <v>12</v>
      </c>
      <c r="E172" s="3" t="s">
        <v>56</v>
      </c>
      <c r="F172" s="3" t="s">
        <v>18</v>
      </c>
      <c r="G172" s="3" t="n">
        <v>1</v>
      </c>
      <c r="H172" s="3" t="n">
        <v>2499</v>
      </c>
      <c r="I172" s="3" t="n">
        <f aca="false">G172*H172</f>
        <v>2499</v>
      </c>
    </row>
    <row r="173" customFormat="false" ht="15" hidden="false" customHeight="false" outlineLevel="0" collapsed="false">
      <c r="A173" s="3" t="s">
        <v>894</v>
      </c>
      <c r="B173" s="3" t="s">
        <v>1105</v>
      </c>
      <c r="C173" s="3" t="s">
        <v>31</v>
      </c>
      <c r="D173" s="3" t="s">
        <v>32</v>
      </c>
      <c r="E173" s="3" t="s">
        <v>41</v>
      </c>
      <c r="F173" s="3" t="s">
        <v>24</v>
      </c>
      <c r="G173" s="3" t="n">
        <v>9</v>
      </c>
      <c r="H173" s="3" t="n">
        <v>1499</v>
      </c>
      <c r="I173" s="3" t="n">
        <f aca="false">G173*H173</f>
        <v>13491</v>
      </c>
    </row>
    <row r="174" customFormat="false" ht="15" hidden="false" customHeight="false" outlineLevel="0" collapsed="false">
      <c r="A174" s="3" t="s">
        <v>779</v>
      </c>
      <c r="B174" s="3" t="s">
        <v>1105</v>
      </c>
      <c r="C174" s="3" t="s">
        <v>45</v>
      </c>
      <c r="D174" s="3" t="s">
        <v>12</v>
      </c>
      <c r="E174" s="3" t="s">
        <v>56</v>
      </c>
      <c r="F174" s="3" t="s">
        <v>42</v>
      </c>
      <c r="G174" s="3" t="n">
        <v>8</v>
      </c>
      <c r="H174" s="3" t="n">
        <v>499</v>
      </c>
      <c r="I174" s="3" t="n">
        <f aca="false">G174*H174</f>
        <v>3992</v>
      </c>
    </row>
    <row r="175" customFormat="false" ht="15" hidden="false" customHeight="false" outlineLevel="0" collapsed="false">
      <c r="A175" s="3" t="s">
        <v>614</v>
      </c>
      <c r="B175" s="3" t="s">
        <v>1106</v>
      </c>
      <c r="C175" s="3" t="s">
        <v>21</v>
      </c>
      <c r="D175" s="3" t="s">
        <v>22</v>
      </c>
      <c r="E175" s="3" t="s">
        <v>41</v>
      </c>
      <c r="F175" s="3" t="s">
        <v>42</v>
      </c>
      <c r="G175" s="3" t="n">
        <v>8</v>
      </c>
      <c r="H175" s="3" t="n">
        <v>699</v>
      </c>
      <c r="I175" s="3" t="n">
        <f aca="false">G175*H175</f>
        <v>5592</v>
      </c>
    </row>
    <row r="176" customFormat="false" ht="15" hidden="false" customHeight="false" outlineLevel="0" collapsed="false">
      <c r="A176" s="3" t="s">
        <v>189</v>
      </c>
      <c r="B176" s="3" t="s">
        <v>1106</v>
      </c>
      <c r="C176" s="3" t="s">
        <v>55</v>
      </c>
      <c r="D176" s="3" t="s">
        <v>12</v>
      </c>
      <c r="E176" s="3" t="s">
        <v>13</v>
      </c>
      <c r="F176" s="3" t="s">
        <v>18</v>
      </c>
      <c r="G176" s="3" t="n">
        <v>1</v>
      </c>
      <c r="H176" s="3" t="n">
        <v>299</v>
      </c>
      <c r="I176" s="3" t="n">
        <f aca="false">G176*H176</f>
        <v>299</v>
      </c>
    </row>
    <row r="177" customFormat="false" ht="15" hidden="false" customHeight="false" outlineLevel="0" collapsed="false">
      <c r="A177" s="3" t="s">
        <v>920</v>
      </c>
      <c r="B177" s="3" t="s">
        <v>1106</v>
      </c>
      <c r="C177" s="3" t="s">
        <v>31</v>
      </c>
      <c r="D177" s="3" t="s">
        <v>32</v>
      </c>
      <c r="E177" s="3" t="s">
        <v>56</v>
      </c>
      <c r="F177" s="3" t="s">
        <v>35</v>
      </c>
      <c r="G177" s="3" t="n">
        <v>12</v>
      </c>
      <c r="H177" s="3" t="n">
        <v>1499</v>
      </c>
      <c r="I177" s="3" t="n">
        <f aca="false">G177*H177</f>
        <v>17988</v>
      </c>
    </row>
    <row r="178" customFormat="false" ht="15" hidden="false" customHeight="false" outlineLevel="0" collapsed="false">
      <c r="A178" s="3" t="s">
        <v>265</v>
      </c>
      <c r="B178" s="3" t="s">
        <v>1107</v>
      </c>
      <c r="C178" s="3" t="s">
        <v>55</v>
      </c>
      <c r="D178" s="3" t="s">
        <v>12</v>
      </c>
      <c r="E178" s="3" t="s">
        <v>13</v>
      </c>
      <c r="F178" s="3" t="s">
        <v>35</v>
      </c>
      <c r="G178" s="3" t="n">
        <v>6</v>
      </c>
      <c r="H178" s="3" t="n">
        <v>299</v>
      </c>
      <c r="I178" s="3" t="n">
        <f aca="false">G178*H178</f>
        <v>1794</v>
      </c>
    </row>
    <row r="179" customFormat="false" ht="15" hidden="false" customHeight="false" outlineLevel="0" collapsed="false">
      <c r="A179" s="3" t="s">
        <v>169</v>
      </c>
      <c r="B179" s="3" t="s">
        <v>1107</v>
      </c>
      <c r="C179" s="3" t="s">
        <v>38</v>
      </c>
      <c r="D179" s="3" t="s">
        <v>32</v>
      </c>
      <c r="E179" s="3" t="s">
        <v>13</v>
      </c>
      <c r="F179" s="3" t="s">
        <v>18</v>
      </c>
      <c r="G179" s="3" t="n">
        <v>10</v>
      </c>
      <c r="H179" s="3" t="n">
        <v>1999</v>
      </c>
      <c r="I179" s="3" t="n">
        <f aca="false">G179*H179</f>
        <v>19990</v>
      </c>
    </row>
    <row r="180" customFormat="false" ht="15" hidden="false" customHeight="false" outlineLevel="0" collapsed="false">
      <c r="A180" s="3" t="s">
        <v>19</v>
      </c>
      <c r="B180" s="3" t="s">
        <v>1108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n">
        <v>14</v>
      </c>
      <c r="H180" s="3" t="n">
        <v>699</v>
      </c>
      <c r="I180" s="3" t="n">
        <f aca="false">G180*H180</f>
        <v>9786</v>
      </c>
    </row>
    <row r="181" customFormat="false" ht="15" hidden="false" customHeight="false" outlineLevel="0" collapsed="false">
      <c r="A181" s="3" t="s">
        <v>997</v>
      </c>
      <c r="B181" s="3" t="s">
        <v>1108</v>
      </c>
      <c r="C181" s="3" t="s">
        <v>21</v>
      </c>
      <c r="D181" s="3" t="s">
        <v>22</v>
      </c>
      <c r="E181" s="3" t="s">
        <v>56</v>
      </c>
      <c r="F181" s="3" t="s">
        <v>35</v>
      </c>
      <c r="G181" s="3" t="n">
        <v>7</v>
      </c>
      <c r="H181" s="3" t="n">
        <v>699</v>
      </c>
      <c r="I181" s="3" t="n">
        <f aca="false">G181*H181</f>
        <v>4893</v>
      </c>
    </row>
    <row r="182" customFormat="false" ht="15" hidden="false" customHeight="false" outlineLevel="0" collapsed="false">
      <c r="A182" s="3" t="s">
        <v>924</v>
      </c>
      <c r="B182" s="3" t="s">
        <v>1108</v>
      </c>
      <c r="C182" s="3" t="s">
        <v>45</v>
      </c>
      <c r="D182" s="3" t="s">
        <v>12</v>
      </c>
      <c r="E182" s="3" t="s">
        <v>23</v>
      </c>
      <c r="F182" s="3" t="s">
        <v>28</v>
      </c>
      <c r="G182" s="3" t="n">
        <v>8</v>
      </c>
      <c r="H182" s="3" t="n">
        <v>499</v>
      </c>
      <c r="I182" s="3" t="n">
        <f aca="false">G182*H182</f>
        <v>3992</v>
      </c>
    </row>
    <row r="183" customFormat="false" ht="15" hidden="false" customHeight="false" outlineLevel="0" collapsed="false">
      <c r="A183" s="3" t="s">
        <v>258</v>
      </c>
      <c r="B183" s="3" t="s">
        <v>1109</v>
      </c>
      <c r="C183" s="3" t="s">
        <v>75</v>
      </c>
      <c r="D183" s="3" t="s">
        <v>32</v>
      </c>
      <c r="E183" s="3" t="s">
        <v>23</v>
      </c>
      <c r="F183" s="3" t="s">
        <v>24</v>
      </c>
      <c r="G183" s="3" t="n">
        <v>7</v>
      </c>
      <c r="H183" s="3" t="n">
        <v>8999</v>
      </c>
      <c r="I183" s="3" t="n">
        <f aca="false">G183*H183</f>
        <v>62993</v>
      </c>
    </row>
    <row r="184" customFormat="false" ht="15" hidden="false" customHeight="false" outlineLevel="0" collapsed="false">
      <c r="A184" s="3" t="s">
        <v>629</v>
      </c>
      <c r="B184" s="3" t="s">
        <v>1109</v>
      </c>
      <c r="C184" s="3" t="s">
        <v>105</v>
      </c>
      <c r="D184" s="3" t="s">
        <v>32</v>
      </c>
      <c r="E184" s="3" t="s">
        <v>13</v>
      </c>
      <c r="F184" s="3" t="s">
        <v>28</v>
      </c>
      <c r="G184" s="3" t="n">
        <v>10</v>
      </c>
      <c r="H184" s="3" t="n">
        <v>1799</v>
      </c>
      <c r="I184" s="3" t="n">
        <f aca="false">G184*H184</f>
        <v>17990</v>
      </c>
    </row>
    <row r="185" customFormat="false" ht="15" hidden="false" customHeight="false" outlineLevel="0" collapsed="false">
      <c r="A185" s="3" t="s">
        <v>788</v>
      </c>
      <c r="B185" s="3" t="s">
        <v>1110</v>
      </c>
      <c r="C185" s="3" t="s">
        <v>45</v>
      </c>
      <c r="D185" s="3" t="s">
        <v>12</v>
      </c>
      <c r="E185" s="3" t="s">
        <v>13</v>
      </c>
      <c r="F185" s="3" t="s">
        <v>35</v>
      </c>
      <c r="G185" s="3" t="n">
        <v>10</v>
      </c>
      <c r="H185" s="3" t="n">
        <v>499</v>
      </c>
      <c r="I185" s="3" t="n">
        <f aca="false">G185*H185</f>
        <v>4990</v>
      </c>
    </row>
    <row r="186" customFormat="false" ht="15" hidden="false" customHeight="false" outlineLevel="0" collapsed="false">
      <c r="A186" s="3" t="s">
        <v>135</v>
      </c>
      <c r="B186" s="3" t="s">
        <v>1110</v>
      </c>
      <c r="C186" s="3" t="s">
        <v>55</v>
      </c>
      <c r="D186" s="3" t="s">
        <v>12</v>
      </c>
      <c r="E186" s="3" t="s">
        <v>41</v>
      </c>
      <c r="F186" s="3" t="s">
        <v>18</v>
      </c>
      <c r="G186" s="3" t="n">
        <v>7</v>
      </c>
      <c r="H186" s="3" t="n">
        <v>299</v>
      </c>
      <c r="I186" s="3" t="n">
        <f aca="false">G186*H186</f>
        <v>2093</v>
      </c>
    </row>
    <row r="187" customFormat="false" ht="15" hidden="false" customHeight="false" outlineLevel="0" collapsed="false">
      <c r="A187" s="3" t="s">
        <v>140</v>
      </c>
      <c r="B187" s="3" t="s">
        <v>1110</v>
      </c>
      <c r="C187" s="3" t="s">
        <v>38</v>
      </c>
      <c r="D187" s="3" t="s">
        <v>32</v>
      </c>
      <c r="E187" s="3" t="s">
        <v>23</v>
      </c>
      <c r="F187" s="3" t="s">
        <v>18</v>
      </c>
      <c r="G187" s="3" t="n">
        <v>5</v>
      </c>
      <c r="H187" s="3" t="n">
        <v>1999</v>
      </c>
      <c r="I187" s="3" t="n">
        <f aca="false">G187*H187</f>
        <v>9995</v>
      </c>
    </row>
    <row r="188" customFormat="false" ht="15" hidden="false" customHeight="false" outlineLevel="0" collapsed="false">
      <c r="A188" s="3" t="s">
        <v>962</v>
      </c>
      <c r="B188" s="3" t="s">
        <v>1111</v>
      </c>
      <c r="C188" s="3" t="s">
        <v>27</v>
      </c>
      <c r="D188" s="3" t="s">
        <v>22</v>
      </c>
      <c r="E188" s="3" t="s">
        <v>13</v>
      </c>
      <c r="F188" s="3" t="s">
        <v>18</v>
      </c>
      <c r="G188" s="3" t="n">
        <v>8</v>
      </c>
      <c r="H188" s="3" t="n">
        <v>899</v>
      </c>
      <c r="I188" s="3" t="n">
        <f aca="false">G188*H188</f>
        <v>7192</v>
      </c>
    </row>
    <row r="189" customFormat="false" ht="15" hidden="false" customHeight="false" outlineLevel="0" collapsed="false">
      <c r="A189" s="3" t="s">
        <v>843</v>
      </c>
      <c r="B189" s="3" t="s">
        <v>1111</v>
      </c>
      <c r="C189" s="3" t="s">
        <v>38</v>
      </c>
      <c r="D189" s="3" t="s">
        <v>32</v>
      </c>
      <c r="E189" s="3" t="s">
        <v>13</v>
      </c>
      <c r="F189" s="3" t="s">
        <v>35</v>
      </c>
      <c r="G189" s="3" t="n">
        <v>1</v>
      </c>
      <c r="H189" s="3" t="n">
        <v>1999</v>
      </c>
      <c r="I189" s="3" t="n">
        <f aca="false">G189*H189</f>
        <v>1999</v>
      </c>
    </row>
    <row r="190" customFormat="false" ht="15" hidden="false" customHeight="false" outlineLevel="0" collapsed="false">
      <c r="A190" s="3" t="s">
        <v>519</v>
      </c>
      <c r="B190" s="3" t="s">
        <v>1111</v>
      </c>
      <c r="C190" s="3" t="s">
        <v>105</v>
      </c>
      <c r="D190" s="3" t="s">
        <v>32</v>
      </c>
      <c r="E190" s="3" t="s">
        <v>41</v>
      </c>
      <c r="F190" s="3" t="s">
        <v>18</v>
      </c>
      <c r="G190" s="3" t="n">
        <v>1</v>
      </c>
      <c r="H190" s="3" t="n">
        <v>1799</v>
      </c>
      <c r="I190" s="3" t="n">
        <f aca="false">G190*H190</f>
        <v>1799</v>
      </c>
    </row>
    <row r="191" customFormat="false" ht="15" hidden="false" customHeight="false" outlineLevel="0" collapsed="false">
      <c r="A191" s="3" t="s">
        <v>381</v>
      </c>
      <c r="B191" s="3" t="s">
        <v>1111</v>
      </c>
      <c r="C191" s="3" t="s">
        <v>16</v>
      </c>
      <c r="D191" s="3" t="s">
        <v>12</v>
      </c>
      <c r="E191" s="3" t="s">
        <v>13</v>
      </c>
      <c r="F191" s="3" t="s">
        <v>28</v>
      </c>
      <c r="G191" s="3" t="n">
        <v>6</v>
      </c>
      <c r="H191" s="3" t="n">
        <v>2499</v>
      </c>
      <c r="I191" s="3" t="n">
        <f aca="false">G191*H191</f>
        <v>14994</v>
      </c>
    </row>
    <row r="192" customFormat="false" ht="15" hidden="false" customHeight="false" outlineLevel="0" collapsed="false">
      <c r="A192" s="3" t="s">
        <v>271</v>
      </c>
      <c r="B192" s="3" t="s">
        <v>1112</v>
      </c>
      <c r="C192" s="3" t="s">
        <v>75</v>
      </c>
      <c r="D192" s="3" t="s">
        <v>32</v>
      </c>
      <c r="E192" s="3" t="s">
        <v>41</v>
      </c>
      <c r="F192" s="3" t="s">
        <v>42</v>
      </c>
      <c r="G192" s="3" t="n">
        <v>4</v>
      </c>
      <c r="H192" s="3" t="n">
        <v>8999</v>
      </c>
      <c r="I192" s="3" t="n">
        <f aca="false">G192*H192</f>
        <v>35996</v>
      </c>
    </row>
    <row r="193" customFormat="false" ht="15" hidden="false" customHeight="false" outlineLevel="0" collapsed="false">
      <c r="A193" s="3" t="s">
        <v>305</v>
      </c>
      <c r="B193" s="3" t="s">
        <v>1113</v>
      </c>
      <c r="C193" s="3" t="s">
        <v>75</v>
      </c>
      <c r="D193" s="3" t="s">
        <v>32</v>
      </c>
      <c r="E193" s="3" t="s">
        <v>41</v>
      </c>
      <c r="F193" s="3" t="s">
        <v>35</v>
      </c>
      <c r="G193" s="3" t="n">
        <v>6</v>
      </c>
      <c r="H193" s="3" t="n">
        <v>8999</v>
      </c>
      <c r="I193" s="3" t="n">
        <f aca="false">G193*H193</f>
        <v>53994</v>
      </c>
    </row>
    <row r="194" customFormat="false" ht="15" hidden="false" customHeight="false" outlineLevel="0" collapsed="false">
      <c r="A194" s="3" t="s">
        <v>357</v>
      </c>
      <c r="B194" s="3" t="s">
        <v>1113</v>
      </c>
      <c r="C194" s="3" t="s">
        <v>16</v>
      </c>
      <c r="D194" s="3" t="s">
        <v>12</v>
      </c>
      <c r="E194" s="3" t="s">
        <v>13</v>
      </c>
      <c r="F194" s="3" t="s">
        <v>28</v>
      </c>
      <c r="G194" s="3" t="n">
        <v>9</v>
      </c>
      <c r="H194" s="3" t="n">
        <v>2499</v>
      </c>
      <c r="I194" s="3" t="n">
        <f aca="false">G194*H194</f>
        <v>22491</v>
      </c>
    </row>
    <row r="195" customFormat="false" ht="15" hidden="false" customHeight="false" outlineLevel="0" collapsed="false">
      <c r="A195" s="3" t="s">
        <v>833</v>
      </c>
      <c r="B195" s="3" t="s">
        <v>1114</v>
      </c>
      <c r="C195" s="3" t="s">
        <v>75</v>
      </c>
      <c r="D195" s="3" t="s">
        <v>32</v>
      </c>
      <c r="E195" s="3" t="s">
        <v>13</v>
      </c>
      <c r="F195" s="3" t="s">
        <v>35</v>
      </c>
      <c r="G195" s="3" t="n">
        <v>13</v>
      </c>
      <c r="H195" s="3" t="n">
        <v>8999</v>
      </c>
      <c r="I195" s="3" t="n">
        <f aca="false">G195*H195</f>
        <v>116987</v>
      </c>
    </row>
    <row r="196" customFormat="false" ht="15" hidden="false" customHeight="false" outlineLevel="0" collapsed="false">
      <c r="A196" s="3" t="s">
        <v>363</v>
      </c>
      <c r="B196" s="3" t="s">
        <v>1115</v>
      </c>
      <c r="C196" s="3" t="s">
        <v>55</v>
      </c>
      <c r="D196" s="3" t="s">
        <v>12</v>
      </c>
      <c r="E196" s="3" t="s">
        <v>23</v>
      </c>
      <c r="F196" s="3" t="s">
        <v>28</v>
      </c>
      <c r="G196" s="3" t="n">
        <v>5</v>
      </c>
      <c r="H196" s="3" t="n">
        <v>299</v>
      </c>
      <c r="I196" s="3" t="n">
        <f aca="false">G196*H196</f>
        <v>1495</v>
      </c>
    </row>
    <row r="197" customFormat="false" ht="15" hidden="false" customHeight="false" outlineLevel="0" collapsed="false">
      <c r="A197" s="3" t="s">
        <v>254</v>
      </c>
      <c r="B197" s="3" t="s">
        <v>1115</v>
      </c>
      <c r="C197" s="3" t="s">
        <v>31</v>
      </c>
      <c r="D197" s="3" t="s">
        <v>32</v>
      </c>
      <c r="E197" s="3" t="s">
        <v>41</v>
      </c>
      <c r="F197" s="3" t="s">
        <v>24</v>
      </c>
      <c r="G197" s="3" t="n">
        <v>7</v>
      </c>
      <c r="H197" s="3" t="n">
        <v>1499</v>
      </c>
      <c r="I197" s="3" t="n">
        <f aca="false">G197*H197</f>
        <v>10493</v>
      </c>
    </row>
    <row r="198" customFormat="false" ht="15" hidden="false" customHeight="false" outlineLevel="0" collapsed="false">
      <c r="A198" s="3" t="s">
        <v>308</v>
      </c>
      <c r="B198" s="3" t="s">
        <v>1115</v>
      </c>
      <c r="C198" s="3" t="s">
        <v>31</v>
      </c>
      <c r="D198" s="3" t="s">
        <v>32</v>
      </c>
      <c r="E198" s="3" t="s">
        <v>56</v>
      </c>
      <c r="F198" s="3" t="s">
        <v>28</v>
      </c>
      <c r="G198" s="3" t="n">
        <v>1</v>
      </c>
      <c r="H198" s="3" t="n">
        <v>1499</v>
      </c>
      <c r="I198" s="3" t="n">
        <f aca="false">G198*H198</f>
        <v>1499</v>
      </c>
    </row>
    <row r="199" customFormat="false" ht="15" hidden="false" customHeight="false" outlineLevel="0" collapsed="false">
      <c r="A199" s="3" t="s">
        <v>594</v>
      </c>
      <c r="B199" s="3" t="s">
        <v>1116</v>
      </c>
      <c r="C199" s="3" t="s">
        <v>55</v>
      </c>
      <c r="D199" s="3" t="s">
        <v>12</v>
      </c>
      <c r="E199" s="3" t="s">
        <v>41</v>
      </c>
      <c r="F199" s="3" t="s">
        <v>42</v>
      </c>
      <c r="G199" s="3" t="n">
        <v>10</v>
      </c>
      <c r="H199" s="3" t="n">
        <v>299</v>
      </c>
      <c r="I199" s="3" t="n">
        <f aca="false">G199*H199</f>
        <v>2990</v>
      </c>
    </row>
    <row r="200" customFormat="false" ht="15" hidden="false" customHeight="false" outlineLevel="0" collapsed="false">
      <c r="A200" s="3" t="s">
        <v>703</v>
      </c>
      <c r="B200" s="3" t="s">
        <v>1117</v>
      </c>
      <c r="C200" s="3" t="s">
        <v>31</v>
      </c>
      <c r="D200" s="3" t="s">
        <v>32</v>
      </c>
      <c r="E200" s="3" t="s">
        <v>41</v>
      </c>
      <c r="F200" s="3" t="s">
        <v>35</v>
      </c>
      <c r="G200" s="3" t="n">
        <v>6</v>
      </c>
      <c r="H200" s="3" t="n">
        <v>1499</v>
      </c>
      <c r="I200" s="3" t="n">
        <f aca="false">G200*H200</f>
        <v>8994</v>
      </c>
    </row>
    <row r="201" customFormat="false" ht="15" hidden="false" customHeight="false" outlineLevel="0" collapsed="false">
      <c r="A201" s="3" t="s">
        <v>819</v>
      </c>
      <c r="B201" s="3" t="s">
        <v>1118</v>
      </c>
      <c r="C201" s="3" t="s">
        <v>38</v>
      </c>
      <c r="D201" s="3" t="s">
        <v>32</v>
      </c>
      <c r="E201" s="3" t="s">
        <v>41</v>
      </c>
      <c r="F201" s="3" t="s">
        <v>24</v>
      </c>
      <c r="G201" s="3" t="n">
        <v>8</v>
      </c>
      <c r="H201" s="3" t="n">
        <v>1999</v>
      </c>
      <c r="I201" s="3" t="n">
        <f aca="false">G201*H201</f>
        <v>15992</v>
      </c>
    </row>
    <row r="202" customFormat="false" ht="15" hidden="false" customHeight="false" outlineLevel="0" collapsed="false">
      <c r="A202" s="3" t="s">
        <v>695</v>
      </c>
      <c r="B202" s="3" t="s">
        <v>1119</v>
      </c>
      <c r="C202" s="3" t="s">
        <v>16</v>
      </c>
      <c r="D202" s="3" t="s">
        <v>12</v>
      </c>
      <c r="E202" s="3" t="s">
        <v>23</v>
      </c>
      <c r="F202" s="3" t="s">
        <v>42</v>
      </c>
      <c r="G202" s="3" t="n">
        <v>13</v>
      </c>
      <c r="H202" s="3" t="n">
        <v>2499</v>
      </c>
      <c r="I202" s="3" t="n">
        <f aca="false">G202*H202</f>
        <v>32487</v>
      </c>
    </row>
    <row r="203" customFormat="false" ht="15" hidden="false" customHeight="false" outlineLevel="0" collapsed="false">
      <c r="A203" s="3" t="s">
        <v>85</v>
      </c>
      <c r="B203" s="3" t="s">
        <v>1119</v>
      </c>
      <c r="C203" s="3" t="s">
        <v>75</v>
      </c>
      <c r="D203" s="3" t="s">
        <v>32</v>
      </c>
      <c r="E203" s="3" t="s">
        <v>23</v>
      </c>
      <c r="F203" s="3" t="s">
        <v>28</v>
      </c>
      <c r="G203" s="3" t="n">
        <v>4</v>
      </c>
      <c r="H203" s="3" t="n">
        <v>8999</v>
      </c>
      <c r="I203" s="3" t="n">
        <f aca="false">G203*H203</f>
        <v>35996</v>
      </c>
    </row>
    <row r="204" customFormat="false" ht="15" hidden="false" customHeight="false" outlineLevel="0" collapsed="false">
      <c r="A204" s="3" t="s">
        <v>721</v>
      </c>
      <c r="B204" s="3" t="s">
        <v>1119</v>
      </c>
      <c r="C204" s="3" t="s">
        <v>27</v>
      </c>
      <c r="D204" s="3" t="s">
        <v>22</v>
      </c>
      <c r="E204" s="3" t="s">
        <v>13</v>
      </c>
      <c r="F204" s="3" t="s">
        <v>18</v>
      </c>
      <c r="G204" s="3" t="n">
        <v>5</v>
      </c>
      <c r="H204" s="3" t="n">
        <v>899</v>
      </c>
      <c r="I204" s="3" t="n">
        <f aca="false">G204*H204</f>
        <v>4495</v>
      </c>
    </row>
    <row r="205" customFormat="false" ht="15" hidden="false" customHeight="false" outlineLevel="0" collapsed="false">
      <c r="A205" s="3" t="s">
        <v>556</v>
      </c>
      <c r="B205" s="3" t="s">
        <v>1120</v>
      </c>
      <c r="C205" s="3" t="s">
        <v>93</v>
      </c>
      <c r="D205" s="3" t="s">
        <v>12</v>
      </c>
      <c r="E205" s="3" t="s">
        <v>41</v>
      </c>
      <c r="F205" s="3" t="s">
        <v>28</v>
      </c>
      <c r="G205" s="3" t="n">
        <v>11</v>
      </c>
      <c r="H205" s="3" t="n">
        <v>1299</v>
      </c>
      <c r="I205" s="3" t="n">
        <f aca="false">G205*H205</f>
        <v>14289</v>
      </c>
    </row>
    <row r="206" customFormat="false" ht="15" hidden="false" customHeight="false" outlineLevel="0" collapsed="false">
      <c r="A206" s="3" t="s">
        <v>447</v>
      </c>
      <c r="B206" s="3" t="s">
        <v>1120</v>
      </c>
      <c r="C206" s="3" t="s">
        <v>38</v>
      </c>
      <c r="D206" s="3" t="s">
        <v>32</v>
      </c>
      <c r="E206" s="3" t="s">
        <v>41</v>
      </c>
      <c r="F206" s="3" t="s">
        <v>35</v>
      </c>
      <c r="G206" s="3" t="n">
        <v>4</v>
      </c>
      <c r="H206" s="3" t="n">
        <v>1999</v>
      </c>
      <c r="I206" s="3" t="n">
        <f aca="false">G206*H206</f>
        <v>7996</v>
      </c>
    </row>
    <row r="207" customFormat="false" ht="15" hidden="false" customHeight="false" outlineLevel="0" collapsed="false">
      <c r="A207" s="3" t="s">
        <v>835</v>
      </c>
      <c r="B207" s="3" t="s">
        <v>1121</v>
      </c>
      <c r="C207" s="3" t="s">
        <v>38</v>
      </c>
      <c r="D207" s="3" t="s">
        <v>32</v>
      </c>
      <c r="E207" s="3" t="s">
        <v>23</v>
      </c>
      <c r="F207" s="3" t="s">
        <v>35</v>
      </c>
      <c r="G207" s="3" t="n">
        <v>2</v>
      </c>
      <c r="H207" s="3" t="n">
        <v>1999</v>
      </c>
      <c r="I207" s="3" t="n">
        <f aca="false">G207*H207</f>
        <v>3998</v>
      </c>
    </row>
    <row r="208" customFormat="false" ht="15" hidden="false" customHeight="false" outlineLevel="0" collapsed="false">
      <c r="A208" s="3" t="s">
        <v>340</v>
      </c>
      <c r="B208" s="3" t="s">
        <v>1122</v>
      </c>
      <c r="C208" s="3" t="s">
        <v>31</v>
      </c>
      <c r="D208" s="3" t="s">
        <v>32</v>
      </c>
      <c r="E208" s="3" t="s">
        <v>13</v>
      </c>
      <c r="F208" s="3" t="s">
        <v>35</v>
      </c>
      <c r="G208" s="3" t="n">
        <v>7</v>
      </c>
      <c r="H208" s="3" t="n">
        <v>1499</v>
      </c>
      <c r="I208" s="3" t="n">
        <f aca="false">G208*H208</f>
        <v>10493</v>
      </c>
    </row>
    <row r="209" customFormat="false" ht="15" hidden="false" customHeight="false" outlineLevel="0" collapsed="false">
      <c r="A209" s="3" t="s">
        <v>855</v>
      </c>
      <c r="B209" s="3" t="s">
        <v>1122</v>
      </c>
      <c r="C209" s="3" t="s">
        <v>93</v>
      </c>
      <c r="D209" s="3" t="s">
        <v>12</v>
      </c>
      <c r="E209" s="3" t="s">
        <v>41</v>
      </c>
      <c r="F209" s="3" t="s">
        <v>18</v>
      </c>
      <c r="G209" s="3" t="n">
        <v>2</v>
      </c>
      <c r="H209" s="3" t="n">
        <v>1299</v>
      </c>
      <c r="I209" s="3" t="n">
        <f aca="false">G209*H209</f>
        <v>2598</v>
      </c>
    </row>
    <row r="210" customFormat="false" ht="15" hidden="false" customHeight="false" outlineLevel="0" collapsed="false">
      <c r="A210" s="3" t="s">
        <v>317</v>
      </c>
      <c r="B210" s="3" t="s">
        <v>1123</v>
      </c>
      <c r="C210" s="3" t="s">
        <v>45</v>
      </c>
      <c r="D210" s="3" t="s">
        <v>12</v>
      </c>
      <c r="E210" s="3" t="s">
        <v>41</v>
      </c>
      <c r="F210" s="3" t="s">
        <v>42</v>
      </c>
      <c r="G210" s="3" t="n">
        <v>10</v>
      </c>
      <c r="H210" s="3" t="n">
        <v>499</v>
      </c>
      <c r="I210" s="3" t="n">
        <f aca="false">G210*H210</f>
        <v>4990</v>
      </c>
    </row>
    <row r="211" customFormat="false" ht="15" hidden="false" customHeight="false" outlineLevel="0" collapsed="false">
      <c r="A211" s="3" t="s">
        <v>921</v>
      </c>
      <c r="B211" s="3" t="s">
        <v>1123</v>
      </c>
      <c r="C211" s="3" t="s">
        <v>105</v>
      </c>
      <c r="D211" s="3" t="s">
        <v>32</v>
      </c>
      <c r="E211" s="3" t="s">
        <v>56</v>
      </c>
      <c r="F211" s="3" t="s">
        <v>24</v>
      </c>
      <c r="G211" s="3" t="n">
        <v>8</v>
      </c>
      <c r="H211" s="3" t="n">
        <v>1799</v>
      </c>
      <c r="I211" s="3" t="n">
        <f aca="false">G211*H211</f>
        <v>14392</v>
      </c>
    </row>
    <row r="212" customFormat="false" ht="15" hidden="false" customHeight="false" outlineLevel="0" collapsed="false">
      <c r="A212" s="3" t="s">
        <v>246</v>
      </c>
      <c r="B212" s="3" t="s">
        <v>1123</v>
      </c>
      <c r="C212" s="3" t="s">
        <v>55</v>
      </c>
      <c r="D212" s="3" t="s">
        <v>12</v>
      </c>
      <c r="E212" s="3" t="s">
        <v>56</v>
      </c>
      <c r="F212" s="3" t="s">
        <v>18</v>
      </c>
      <c r="G212" s="3" t="n">
        <v>5</v>
      </c>
      <c r="H212" s="3" t="n">
        <v>299</v>
      </c>
      <c r="I212" s="3" t="n">
        <f aca="false">G212*H212</f>
        <v>1495</v>
      </c>
    </row>
    <row r="213" customFormat="false" ht="15" hidden="false" customHeight="false" outlineLevel="0" collapsed="false">
      <c r="A213" s="3" t="s">
        <v>488</v>
      </c>
      <c r="B213" s="3" t="s">
        <v>1124</v>
      </c>
      <c r="C213" s="3" t="s">
        <v>93</v>
      </c>
      <c r="D213" s="3" t="s">
        <v>12</v>
      </c>
      <c r="E213" s="3" t="s">
        <v>41</v>
      </c>
      <c r="F213" s="3" t="s">
        <v>18</v>
      </c>
      <c r="G213" s="3" t="n">
        <v>2</v>
      </c>
      <c r="H213" s="3" t="n">
        <v>1299</v>
      </c>
      <c r="I213" s="3" t="n">
        <f aca="false">G213*H213</f>
        <v>2598</v>
      </c>
    </row>
    <row r="214" customFormat="false" ht="15" hidden="false" customHeight="false" outlineLevel="0" collapsed="false">
      <c r="A214" s="3" t="s">
        <v>739</v>
      </c>
      <c r="B214" s="3" t="s">
        <v>1124</v>
      </c>
      <c r="C214" s="3" t="s">
        <v>45</v>
      </c>
      <c r="D214" s="3" t="s">
        <v>12</v>
      </c>
      <c r="E214" s="3" t="s">
        <v>23</v>
      </c>
      <c r="F214" s="3" t="s">
        <v>35</v>
      </c>
      <c r="G214" s="3" t="n">
        <v>1</v>
      </c>
      <c r="H214" s="3" t="n">
        <v>499</v>
      </c>
      <c r="I214" s="3" t="n">
        <f aca="false">G214*H214</f>
        <v>499</v>
      </c>
    </row>
    <row r="215" customFormat="false" ht="15" hidden="false" customHeight="false" outlineLevel="0" collapsed="false">
      <c r="A215" s="3" t="s">
        <v>856</v>
      </c>
      <c r="B215" s="3" t="s">
        <v>1125</v>
      </c>
      <c r="C215" s="3" t="s">
        <v>27</v>
      </c>
      <c r="D215" s="3" t="s">
        <v>22</v>
      </c>
      <c r="E215" s="3" t="s">
        <v>23</v>
      </c>
      <c r="F215" s="3" t="s">
        <v>35</v>
      </c>
      <c r="G215" s="3" t="n">
        <v>9</v>
      </c>
      <c r="H215" s="3" t="n">
        <v>899</v>
      </c>
      <c r="I215" s="3" t="n">
        <f aca="false">G215*H215</f>
        <v>8091</v>
      </c>
    </row>
    <row r="216" customFormat="false" ht="15" hidden="false" customHeight="false" outlineLevel="0" collapsed="false">
      <c r="A216" s="3" t="s">
        <v>680</v>
      </c>
      <c r="B216" s="3" t="s">
        <v>1125</v>
      </c>
      <c r="C216" s="3" t="s">
        <v>45</v>
      </c>
      <c r="D216" s="3" t="s">
        <v>12</v>
      </c>
      <c r="E216" s="3" t="s">
        <v>23</v>
      </c>
      <c r="F216" s="3" t="s">
        <v>1041</v>
      </c>
      <c r="G216" s="3" t="n">
        <v>6</v>
      </c>
      <c r="H216" s="3" t="n">
        <v>499</v>
      </c>
      <c r="I216" s="3" t="n">
        <f aca="false">G216*H216</f>
        <v>2994</v>
      </c>
    </row>
    <row r="217" customFormat="false" ht="15" hidden="false" customHeight="false" outlineLevel="0" collapsed="false">
      <c r="A217" s="3" t="s">
        <v>716</v>
      </c>
      <c r="B217" s="3" t="s">
        <v>1125</v>
      </c>
      <c r="C217" s="3" t="s">
        <v>27</v>
      </c>
      <c r="D217" s="3" t="s">
        <v>22</v>
      </c>
      <c r="E217" s="3" t="s">
        <v>13</v>
      </c>
      <c r="F217" s="3" t="s">
        <v>18</v>
      </c>
      <c r="G217" s="3" t="n">
        <v>8</v>
      </c>
      <c r="H217" s="3" t="n">
        <v>899</v>
      </c>
      <c r="I217" s="3" t="n">
        <f aca="false">G217*H217</f>
        <v>7192</v>
      </c>
    </row>
    <row r="218" customFormat="false" ht="15" hidden="false" customHeight="false" outlineLevel="0" collapsed="false">
      <c r="A218" s="3" t="s">
        <v>999</v>
      </c>
      <c r="B218" s="3" t="s">
        <v>1126</v>
      </c>
      <c r="C218" s="3" t="s">
        <v>75</v>
      </c>
      <c r="D218" s="3" t="s">
        <v>32</v>
      </c>
      <c r="E218" s="3" t="s">
        <v>56</v>
      </c>
      <c r="F218" s="3" t="s">
        <v>42</v>
      </c>
      <c r="G218" s="3" t="n">
        <v>7</v>
      </c>
      <c r="H218" s="3" t="n">
        <v>8999</v>
      </c>
      <c r="I218" s="3" t="n">
        <f aca="false">G218*H218</f>
        <v>62993</v>
      </c>
    </row>
    <row r="219" customFormat="false" ht="15" hidden="false" customHeight="false" outlineLevel="0" collapsed="false">
      <c r="A219" s="3" t="s">
        <v>677</v>
      </c>
      <c r="B219" s="3" t="s">
        <v>1126</v>
      </c>
      <c r="C219" s="3" t="s">
        <v>27</v>
      </c>
      <c r="D219" s="3" t="s">
        <v>22</v>
      </c>
      <c r="E219" s="3" t="s">
        <v>41</v>
      </c>
      <c r="F219" s="3" t="s">
        <v>18</v>
      </c>
      <c r="G219" s="3" t="n">
        <v>3</v>
      </c>
      <c r="H219" s="3" t="n">
        <v>899</v>
      </c>
      <c r="I219" s="3" t="n">
        <f aca="false">G219*H219</f>
        <v>2697</v>
      </c>
    </row>
    <row r="220" customFormat="false" ht="15" hidden="false" customHeight="false" outlineLevel="0" collapsed="false">
      <c r="A220" s="3" t="s">
        <v>523</v>
      </c>
      <c r="B220" s="3" t="s">
        <v>1126</v>
      </c>
      <c r="C220" s="3" t="s">
        <v>75</v>
      </c>
      <c r="D220" s="3" t="s">
        <v>32</v>
      </c>
      <c r="E220" s="3" t="s">
        <v>13</v>
      </c>
      <c r="F220" s="3" t="s">
        <v>35</v>
      </c>
      <c r="G220" s="3" t="n">
        <v>1</v>
      </c>
      <c r="H220" s="3" t="n">
        <v>8999</v>
      </c>
      <c r="I220" s="3" t="n">
        <f aca="false">G220*H220</f>
        <v>8999</v>
      </c>
    </row>
    <row r="221" customFormat="false" ht="15" hidden="false" customHeight="false" outlineLevel="0" collapsed="false">
      <c r="A221" s="3" t="s">
        <v>369</v>
      </c>
      <c r="B221" s="3" t="s">
        <v>1126</v>
      </c>
      <c r="C221" s="3" t="s">
        <v>38</v>
      </c>
      <c r="D221" s="3" t="s">
        <v>32</v>
      </c>
      <c r="E221" s="3" t="s">
        <v>41</v>
      </c>
      <c r="F221" s="3" t="s">
        <v>42</v>
      </c>
      <c r="G221" s="3" t="n">
        <v>14</v>
      </c>
      <c r="H221" s="3" t="n">
        <v>1999</v>
      </c>
      <c r="I221" s="3" t="n">
        <f aca="false">G221*H221</f>
        <v>27986</v>
      </c>
    </row>
    <row r="222" customFormat="false" ht="15" hidden="false" customHeight="false" outlineLevel="0" collapsed="false">
      <c r="A222" s="3" t="s">
        <v>768</v>
      </c>
      <c r="B222" s="3" t="s">
        <v>1127</v>
      </c>
      <c r="C222" s="3" t="s">
        <v>55</v>
      </c>
      <c r="D222" s="3" t="s">
        <v>12</v>
      </c>
      <c r="E222" s="3" t="s">
        <v>41</v>
      </c>
      <c r="F222" s="3" t="s">
        <v>42</v>
      </c>
      <c r="G222" s="3" t="n">
        <v>3</v>
      </c>
      <c r="H222" s="3" t="n">
        <v>299</v>
      </c>
      <c r="I222" s="3" t="n">
        <f aca="false">G222*H222</f>
        <v>897</v>
      </c>
    </row>
    <row r="223" customFormat="false" ht="15" hidden="false" customHeight="false" outlineLevel="0" collapsed="false">
      <c r="A223" s="3" t="s">
        <v>320</v>
      </c>
      <c r="B223" s="3" t="s">
        <v>1127</v>
      </c>
      <c r="C223" s="3" t="s">
        <v>38</v>
      </c>
      <c r="D223" s="3" t="s">
        <v>32</v>
      </c>
      <c r="E223" s="3" t="s">
        <v>13</v>
      </c>
      <c r="F223" s="3" t="s">
        <v>24</v>
      </c>
      <c r="G223" s="3" t="n">
        <v>2</v>
      </c>
      <c r="H223" s="3" t="n">
        <v>1999</v>
      </c>
      <c r="I223" s="3" t="n">
        <f aca="false">G223*H223</f>
        <v>3998</v>
      </c>
    </row>
    <row r="224" customFormat="false" ht="15" hidden="false" customHeight="false" outlineLevel="0" collapsed="false">
      <c r="A224" s="3" t="s">
        <v>907</v>
      </c>
      <c r="B224" s="3" t="s">
        <v>1127</v>
      </c>
      <c r="C224" s="3" t="s">
        <v>93</v>
      </c>
      <c r="D224" s="3" t="s">
        <v>12</v>
      </c>
      <c r="E224" s="3" t="s">
        <v>56</v>
      </c>
      <c r="F224" s="3" t="s">
        <v>18</v>
      </c>
      <c r="G224" s="3" t="n">
        <v>7</v>
      </c>
      <c r="H224" s="3" t="n">
        <v>1299</v>
      </c>
      <c r="I224" s="3" t="n">
        <f aca="false">G224*H224</f>
        <v>9093</v>
      </c>
    </row>
    <row r="225" customFormat="false" ht="15" hidden="false" customHeight="false" outlineLevel="0" collapsed="false">
      <c r="A225" s="3" t="s">
        <v>472</v>
      </c>
      <c r="B225" s="3" t="s">
        <v>1128</v>
      </c>
      <c r="C225" s="3" t="s">
        <v>55</v>
      </c>
      <c r="D225" s="3" t="s">
        <v>12</v>
      </c>
      <c r="E225" s="3" t="s">
        <v>41</v>
      </c>
      <c r="F225" s="3" t="s">
        <v>35</v>
      </c>
      <c r="G225" s="3" t="n">
        <v>3</v>
      </c>
      <c r="H225" s="3" t="n">
        <v>299</v>
      </c>
      <c r="I225" s="3" t="n">
        <f aca="false">G225*H225</f>
        <v>897</v>
      </c>
    </row>
    <row r="226" customFormat="false" ht="15" hidden="false" customHeight="false" outlineLevel="0" collapsed="false">
      <c r="A226" s="3" t="s">
        <v>797</v>
      </c>
      <c r="B226" s="3" t="s">
        <v>1128</v>
      </c>
      <c r="C226" s="3" t="s">
        <v>75</v>
      </c>
      <c r="D226" s="3" t="s">
        <v>32</v>
      </c>
      <c r="E226" s="3" t="s">
        <v>23</v>
      </c>
      <c r="F226" s="3" t="s">
        <v>18</v>
      </c>
      <c r="G226" s="3" t="n">
        <v>1</v>
      </c>
      <c r="H226" s="3" t="n">
        <v>8999</v>
      </c>
      <c r="I226" s="3" t="n">
        <f aca="false">G226*H226</f>
        <v>8999</v>
      </c>
    </row>
    <row r="227" customFormat="false" ht="15" hidden="false" customHeight="false" outlineLevel="0" collapsed="false">
      <c r="A227" s="3" t="s">
        <v>760</v>
      </c>
      <c r="B227" s="3" t="s">
        <v>1128</v>
      </c>
      <c r="C227" s="3" t="s">
        <v>75</v>
      </c>
      <c r="D227" s="3" t="s">
        <v>32</v>
      </c>
      <c r="E227" s="3" t="s">
        <v>23</v>
      </c>
      <c r="F227" s="3" t="s">
        <v>35</v>
      </c>
      <c r="G227" s="3" t="n">
        <v>13</v>
      </c>
      <c r="H227" s="3" t="n">
        <v>8999</v>
      </c>
      <c r="I227" s="3" t="n">
        <f aca="false">G227*H227</f>
        <v>116987</v>
      </c>
    </row>
    <row r="228" customFormat="false" ht="15" hidden="false" customHeight="false" outlineLevel="0" collapsed="false">
      <c r="A228" s="3" t="s">
        <v>740</v>
      </c>
      <c r="B228" s="3" t="s">
        <v>1128</v>
      </c>
      <c r="C228" s="3" t="s">
        <v>45</v>
      </c>
      <c r="D228" s="3" t="s">
        <v>12</v>
      </c>
      <c r="E228" s="3" t="s">
        <v>56</v>
      </c>
      <c r="F228" s="3" t="s">
        <v>35</v>
      </c>
      <c r="G228" s="3" t="n">
        <v>13</v>
      </c>
      <c r="H228" s="3" t="n">
        <v>499</v>
      </c>
      <c r="I228" s="3" t="n">
        <f aca="false">G228*H228</f>
        <v>6487</v>
      </c>
    </row>
    <row r="229" customFormat="false" ht="15" hidden="false" customHeight="false" outlineLevel="0" collapsed="false">
      <c r="A229" s="3" t="s">
        <v>925</v>
      </c>
      <c r="B229" s="3" t="s">
        <v>1129</v>
      </c>
      <c r="C229" s="3" t="s">
        <v>55</v>
      </c>
      <c r="D229" s="3" t="s">
        <v>12</v>
      </c>
      <c r="E229" s="3" t="s">
        <v>13</v>
      </c>
      <c r="F229" s="3" t="s">
        <v>42</v>
      </c>
      <c r="G229" s="3" t="n">
        <v>13</v>
      </c>
      <c r="H229" s="3" t="n">
        <v>299</v>
      </c>
      <c r="I229" s="3" t="n">
        <f aca="false">G229*H229</f>
        <v>3887</v>
      </c>
    </row>
    <row r="230" customFormat="false" ht="15" hidden="false" customHeight="false" outlineLevel="0" collapsed="false">
      <c r="A230" s="3" t="s">
        <v>393</v>
      </c>
      <c r="B230" s="3" t="s">
        <v>1129</v>
      </c>
      <c r="C230" s="3" t="s">
        <v>105</v>
      </c>
      <c r="D230" s="3" t="s">
        <v>32</v>
      </c>
      <c r="E230" s="3" t="s">
        <v>13</v>
      </c>
      <c r="F230" s="3" t="s">
        <v>28</v>
      </c>
      <c r="G230" s="3" t="n">
        <v>10</v>
      </c>
      <c r="H230" s="3" t="n">
        <v>1799</v>
      </c>
      <c r="I230" s="3" t="n">
        <f aca="false">G230*H230</f>
        <v>17990</v>
      </c>
    </row>
    <row r="231" customFormat="false" ht="15" hidden="false" customHeight="false" outlineLevel="0" collapsed="false">
      <c r="A231" s="3" t="s">
        <v>592</v>
      </c>
      <c r="B231" s="3" t="s">
        <v>1130</v>
      </c>
      <c r="C231" s="3" t="s">
        <v>105</v>
      </c>
      <c r="D231" s="3" t="s">
        <v>32</v>
      </c>
      <c r="E231" s="3" t="s">
        <v>13</v>
      </c>
      <c r="F231" s="3" t="s">
        <v>24</v>
      </c>
      <c r="G231" s="3" t="n">
        <v>5</v>
      </c>
      <c r="H231" s="3" t="n">
        <v>1799</v>
      </c>
      <c r="I231" s="3" t="n">
        <f aca="false">G231*H231</f>
        <v>8995</v>
      </c>
    </row>
    <row r="232" customFormat="false" ht="15" hidden="false" customHeight="false" outlineLevel="0" collapsed="false">
      <c r="A232" s="3" t="s">
        <v>649</v>
      </c>
      <c r="B232" s="3" t="s">
        <v>1130</v>
      </c>
      <c r="C232" s="3" t="s">
        <v>75</v>
      </c>
      <c r="D232" s="3" t="s">
        <v>32</v>
      </c>
      <c r="E232" s="3" t="s">
        <v>41</v>
      </c>
      <c r="F232" s="3" t="s">
        <v>42</v>
      </c>
      <c r="G232" s="3" t="n">
        <v>8</v>
      </c>
      <c r="H232" s="3" t="n">
        <v>8999</v>
      </c>
      <c r="I232" s="3" t="n">
        <f aca="false">G232*H232</f>
        <v>71992</v>
      </c>
    </row>
    <row r="233" customFormat="false" ht="15" hidden="false" customHeight="false" outlineLevel="0" collapsed="false">
      <c r="A233" s="3" t="s">
        <v>217</v>
      </c>
      <c r="B233" s="3" t="s">
        <v>1131</v>
      </c>
      <c r="C233" s="3" t="s">
        <v>16</v>
      </c>
      <c r="D233" s="3" t="s">
        <v>12</v>
      </c>
      <c r="E233" s="3" t="s">
        <v>41</v>
      </c>
      <c r="F233" s="3" t="s">
        <v>42</v>
      </c>
      <c r="G233" s="3" t="n">
        <v>1</v>
      </c>
      <c r="H233" s="3" t="n">
        <v>2499</v>
      </c>
      <c r="I233" s="3" t="n">
        <f aca="false">G233*H233</f>
        <v>2499</v>
      </c>
    </row>
    <row r="234" customFormat="false" ht="15" hidden="false" customHeight="false" outlineLevel="0" collapsed="false">
      <c r="A234" s="3" t="s">
        <v>571</v>
      </c>
      <c r="B234" s="3" t="s">
        <v>1132</v>
      </c>
      <c r="C234" s="3" t="s">
        <v>27</v>
      </c>
      <c r="D234" s="3" t="s">
        <v>22</v>
      </c>
      <c r="E234" s="3" t="s">
        <v>56</v>
      </c>
      <c r="F234" s="3" t="s">
        <v>35</v>
      </c>
      <c r="G234" s="3" t="n">
        <v>1</v>
      </c>
      <c r="H234" s="3" t="n">
        <v>899</v>
      </c>
      <c r="I234" s="3" t="n">
        <f aca="false">G234*H234</f>
        <v>899</v>
      </c>
    </row>
    <row r="235" customFormat="false" ht="15" hidden="false" customHeight="false" outlineLevel="0" collapsed="false">
      <c r="A235" s="3" t="s">
        <v>477</v>
      </c>
      <c r="B235" s="3" t="s">
        <v>1132</v>
      </c>
      <c r="C235" s="3" t="s">
        <v>16</v>
      </c>
      <c r="D235" s="3" t="s">
        <v>12</v>
      </c>
      <c r="E235" s="3" t="s">
        <v>41</v>
      </c>
      <c r="F235" s="3" t="s">
        <v>28</v>
      </c>
      <c r="G235" s="3" t="n">
        <v>6</v>
      </c>
      <c r="H235" s="3" t="n">
        <v>2499</v>
      </c>
      <c r="I235" s="3" t="n">
        <f aca="false">G235*H235</f>
        <v>14994</v>
      </c>
    </row>
    <row r="236" customFormat="false" ht="15" hidden="false" customHeight="false" outlineLevel="0" collapsed="false">
      <c r="A236" s="3" t="s">
        <v>858</v>
      </c>
      <c r="B236" s="3" t="s">
        <v>1133</v>
      </c>
      <c r="C236" s="3" t="s">
        <v>75</v>
      </c>
      <c r="D236" s="3" t="s">
        <v>32</v>
      </c>
      <c r="E236" s="3" t="s">
        <v>23</v>
      </c>
      <c r="F236" s="3" t="s">
        <v>28</v>
      </c>
      <c r="G236" s="3" t="n">
        <v>12</v>
      </c>
      <c r="H236" s="3" t="n">
        <v>8999</v>
      </c>
      <c r="I236" s="3" t="n">
        <f aca="false">G236*H236</f>
        <v>107988</v>
      </c>
    </row>
    <row r="237" customFormat="false" ht="15" hidden="false" customHeight="false" outlineLevel="0" collapsed="false">
      <c r="A237" s="3" t="s">
        <v>167</v>
      </c>
      <c r="B237" s="3" t="s">
        <v>1134</v>
      </c>
      <c r="C237" s="3" t="s">
        <v>45</v>
      </c>
      <c r="D237" s="3" t="s">
        <v>12</v>
      </c>
      <c r="E237" s="3" t="s">
        <v>13</v>
      </c>
      <c r="F237" s="3" t="s">
        <v>35</v>
      </c>
      <c r="G237" s="3" t="n">
        <v>10</v>
      </c>
      <c r="H237" s="3" t="n">
        <v>499</v>
      </c>
      <c r="I237" s="3" t="n">
        <f aca="false">G237*H237</f>
        <v>4990</v>
      </c>
    </row>
    <row r="238" customFormat="false" ht="15" hidden="false" customHeight="false" outlineLevel="0" collapsed="false">
      <c r="A238" s="3" t="s">
        <v>346</v>
      </c>
      <c r="B238" s="3" t="s">
        <v>1134</v>
      </c>
      <c r="C238" s="3" t="s">
        <v>27</v>
      </c>
      <c r="D238" s="3" t="s">
        <v>22</v>
      </c>
      <c r="E238" s="3" t="s">
        <v>56</v>
      </c>
      <c r="F238" s="3" t="s">
        <v>24</v>
      </c>
      <c r="G238" s="3" t="n">
        <v>13</v>
      </c>
      <c r="H238" s="3" t="n">
        <v>899</v>
      </c>
      <c r="I238" s="3" t="n">
        <f aca="false">G238*H238</f>
        <v>11687</v>
      </c>
    </row>
    <row r="239" customFormat="false" ht="15" hidden="false" customHeight="false" outlineLevel="0" collapsed="false">
      <c r="A239" s="3" t="s">
        <v>685</v>
      </c>
      <c r="B239" s="3" t="s">
        <v>1135</v>
      </c>
      <c r="C239" s="3" t="s">
        <v>93</v>
      </c>
      <c r="D239" s="3" t="s">
        <v>12</v>
      </c>
      <c r="E239" s="3" t="s">
        <v>41</v>
      </c>
      <c r="F239" s="3" t="s">
        <v>18</v>
      </c>
      <c r="G239" s="3" t="n">
        <v>2</v>
      </c>
      <c r="H239" s="3" t="n">
        <v>1299</v>
      </c>
      <c r="I239" s="3" t="n">
        <f aca="false">G239*H239</f>
        <v>2598</v>
      </c>
    </row>
    <row r="240" customFormat="false" ht="15" hidden="false" customHeight="false" outlineLevel="0" collapsed="false">
      <c r="A240" s="3" t="s">
        <v>275</v>
      </c>
      <c r="B240" s="3" t="s">
        <v>1136</v>
      </c>
      <c r="C240" s="3" t="s">
        <v>31</v>
      </c>
      <c r="D240" s="3" t="s">
        <v>32</v>
      </c>
      <c r="E240" s="3" t="s">
        <v>13</v>
      </c>
      <c r="F240" s="3" t="s">
        <v>42</v>
      </c>
      <c r="G240" s="3" t="n">
        <v>1</v>
      </c>
      <c r="H240" s="3" t="n">
        <v>1499</v>
      </c>
      <c r="I240" s="3" t="n">
        <f aca="false">G240*H240</f>
        <v>1499</v>
      </c>
    </row>
    <row r="241" customFormat="false" ht="15" hidden="false" customHeight="false" outlineLevel="0" collapsed="false">
      <c r="A241" s="3" t="s">
        <v>437</v>
      </c>
      <c r="B241" s="3" t="s">
        <v>1137</v>
      </c>
      <c r="C241" s="3" t="s">
        <v>75</v>
      </c>
      <c r="D241" s="3" t="s">
        <v>32</v>
      </c>
      <c r="E241" s="3" t="s">
        <v>41</v>
      </c>
      <c r="F241" s="3" t="s">
        <v>18</v>
      </c>
      <c r="G241" s="3" t="n">
        <v>8</v>
      </c>
      <c r="H241" s="3" t="n">
        <v>8999</v>
      </c>
      <c r="I241" s="3" t="n">
        <f aca="false">G241*H241</f>
        <v>71992</v>
      </c>
    </row>
    <row r="242" customFormat="false" ht="15" hidden="false" customHeight="false" outlineLevel="0" collapsed="false">
      <c r="A242" s="3" t="s">
        <v>151</v>
      </c>
      <c r="B242" s="3" t="s">
        <v>1138</v>
      </c>
      <c r="C242" s="3" t="s">
        <v>27</v>
      </c>
      <c r="D242" s="3" t="s">
        <v>22</v>
      </c>
      <c r="E242" s="3" t="s">
        <v>13</v>
      </c>
      <c r="F242" s="3" t="s">
        <v>28</v>
      </c>
      <c r="G242" s="3" t="n">
        <v>12</v>
      </c>
      <c r="H242" s="3" t="n">
        <v>899</v>
      </c>
      <c r="I242" s="3" t="n">
        <f aca="false">G242*H242</f>
        <v>10788</v>
      </c>
    </row>
    <row r="243" customFormat="false" ht="15" hidden="false" customHeight="false" outlineLevel="0" collapsed="false">
      <c r="A243" s="3" t="s">
        <v>134</v>
      </c>
      <c r="B243" s="3" t="s">
        <v>1139</v>
      </c>
      <c r="C243" s="3" t="s">
        <v>93</v>
      </c>
      <c r="D243" s="3" t="s">
        <v>12</v>
      </c>
      <c r="E243" s="3" t="s">
        <v>41</v>
      </c>
      <c r="F243" s="3" t="s">
        <v>28</v>
      </c>
      <c r="G243" s="3" t="n">
        <v>8</v>
      </c>
      <c r="H243" s="3" t="n">
        <v>1299</v>
      </c>
      <c r="I243" s="3" t="n">
        <f aca="false">G243*H243</f>
        <v>10392</v>
      </c>
    </row>
    <row r="244" customFormat="false" ht="15" hidden="false" customHeight="false" outlineLevel="0" collapsed="false">
      <c r="A244" s="3" t="s">
        <v>573</v>
      </c>
      <c r="B244" s="3" t="s">
        <v>1139</v>
      </c>
      <c r="C244" s="3" t="s">
        <v>27</v>
      </c>
      <c r="D244" s="3" t="s">
        <v>22</v>
      </c>
      <c r="E244" s="3" t="s">
        <v>56</v>
      </c>
      <c r="F244" s="3" t="s">
        <v>24</v>
      </c>
      <c r="G244" s="3" t="n">
        <v>9</v>
      </c>
      <c r="H244" s="3" t="n">
        <v>899</v>
      </c>
      <c r="I244" s="3" t="n">
        <f aca="false">G244*H244</f>
        <v>8091</v>
      </c>
    </row>
    <row r="245" customFormat="false" ht="15" hidden="false" customHeight="false" outlineLevel="0" collapsed="false">
      <c r="A245" s="3" t="s">
        <v>118</v>
      </c>
      <c r="B245" s="3" t="s">
        <v>1139</v>
      </c>
      <c r="C245" s="3" t="s">
        <v>45</v>
      </c>
      <c r="D245" s="3" t="s">
        <v>12</v>
      </c>
      <c r="E245" s="3" t="s">
        <v>56</v>
      </c>
      <c r="F245" s="3" t="s">
        <v>35</v>
      </c>
      <c r="G245" s="3" t="n">
        <v>8</v>
      </c>
      <c r="H245" s="3" t="n">
        <v>499</v>
      </c>
      <c r="I245" s="3" t="n">
        <f aca="false">G245*H245</f>
        <v>3992</v>
      </c>
    </row>
    <row r="246" customFormat="false" ht="15" hidden="false" customHeight="false" outlineLevel="0" collapsed="false">
      <c r="A246" s="3" t="s">
        <v>128</v>
      </c>
      <c r="B246" s="3" t="s">
        <v>1140</v>
      </c>
      <c r="C246" s="3" t="s">
        <v>27</v>
      </c>
      <c r="D246" s="3" t="s">
        <v>22</v>
      </c>
      <c r="E246" s="3" t="s">
        <v>13</v>
      </c>
      <c r="F246" s="3" t="s">
        <v>18</v>
      </c>
      <c r="G246" s="3" t="n">
        <v>9</v>
      </c>
      <c r="H246" s="3" t="n">
        <v>899</v>
      </c>
      <c r="I246" s="3" t="n">
        <f aca="false">G246*H246</f>
        <v>8091</v>
      </c>
    </row>
    <row r="247" customFormat="false" ht="15" hidden="false" customHeight="false" outlineLevel="0" collapsed="false">
      <c r="A247" s="3" t="s">
        <v>298</v>
      </c>
      <c r="B247" s="3" t="s">
        <v>1140</v>
      </c>
      <c r="C247" s="3" t="s">
        <v>45</v>
      </c>
      <c r="D247" s="3" t="s">
        <v>12</v>
      </c>
      <c r="E247" s="3" t="s">
        <v>56</v>
      </c>
      <c r="F247" s="3" t="s">
        <v>24</v>
      </c>
      <c r="G247" s="3" t="n">
        <v>1</v>
      </c>
      <c r="H247" s="3" t="n">
        <v>499</v>
      </c>
      <c r="I247" s="3" t="n">
        <f aca="false">G247*H247</f>
        <v>499</v>
      </c>
    </row>
    <row r="248" customFormat="false" ht="15" hidden="false" customHeight="false" outlineLevel="0" collapsed="false">
      <c r="A248" s="3" t="s">
        <v>210</v>
      </c>
      <c r="B248" s="3" t="s">
        <v>1140</v>
      </c>
      <c r="C248" s="3" t="s">
        <v>105</v>
      </c>
      <c r="D248" s="3" t="s">
        <v>32</v>
      </c>
      <c r="E248" s="3" t="s">
        <v>56</v>
      </c>
      <c r="F248" s="3" t="s">
        <v>42</v>
      </c>
      <c r="G248" s="3" t="n">
        <v>10</v>
      </c>
      <c r="H248" s="3" t="n">
        <v>1799</v>
      </c>
      <c r="I248" s="3" t="n">
        <f aca="false">G248*H248</f>
        <v>17990</v>
      </c>
    </row>
    <row r="249" customFormat="false" ht="15" hidden="false" customHeight="false" outlineLevel="0" collapsed="false">
      <c r="A249" s="3" t="s">
        <v>518</v>
      </c>
      <c r="B249" s="3" t="s">
        <v>1140</v>
      </c>
      <c r="C249" s="3" t="s">
        <v>93</v>
      </c>
      <c r="D249" s="3" t="s">
        <v>12</v>
      </c>
      <c r="E249" s="3" t="s">
        <v>13</v>
      </c>
      <c r="F249" s="3" t="s">
        <v>18</v>
      </c>
      <c r="G249" s="3" t="n">
        <v>8</v>
      </c>
      <c r="H249" s="3" t="n">
        <v>1299</v>
      </c>
      <c r="I249" s="3" t="n">
        <f aca="false">G249*H249</f>
        <v>10392</v>
      </c>
    </row>
    <row r="250" customFormat="false" ht="15" hidden="false" customHeight="false" outlineLevel="0" collapsed="false">
      <c r="A250" s="3" t="s">
        <v>864</v>
      </c>
      <c r="B250" s="3" t="s">
        <v>1141</v>
      </c>
      <c r="C250" s="3" t="s">
        <v>21</v>
      </c>
      <c r="D250" s="3" t="s">
        <v>22</v>
      </c>
      <c r="E250" s="3" t="s">
        <v>41</v>
      </c>
      <c r="F250" s="3" t="s">
        <v>18</v>
      </c>
      <c r="G250" s="3" t="n">
        <v>12</v>
      </c>
      <c r="H250" s="3" t="n">
        <v>699</v>
      </c>
      <c r="I250" s="3" t="n">
        <f aca="false">G250*H250</f>
        <v>8388</v>
      </c>
    </row>
    <row r="251" customFormat="false" ht="15" hidden="false" customHeight="false" outlineLevel="0" collapsed="false">
      <c r="A251" s="3" t="s">
        <v>238</v>
      </c>
      <c r="B251" s="3" t="s">
        <v>1142</v>
      </c>
      <c r="C251" s="3" t="s">
        <v>31</v>
      </c>
      <c r="D251" s="3" t="s">
        <v>32</v>
      </c>
      <c r="E251" s="3" t="s">
        <v>23</v>
      </c>
      <c r="F251" s="3" t="s">
        <v>18</v>
      </c>
      <c r="G251" s="3" t="n">
        <v>7</v>
      </c>
      <c r="H251" s="3" t="n">
        <v>1499</v>
      </c>
      <c r="I251" s="3" t="n">
        <f aca="false">G251*H251</f>
        <v>10493</v>
      </c>
    </row>
    <row r="252" customFormat="false" ht="15" hidden="false" customHeight="false" outlineLevel="0" collapsed="false">
      <c r="A252" s="3" t="s">
        <v>642</v>
      </c>
      <c r="B252" s="3" t="s">
        <v>1142</v>
      </c>
      <c r="C252" s="3" t="s">
        <v>93</v>
      </c>
      <c r="D252" s="3" t="s">
        <v>12</v>
      </c>
      <c r="E252" s="3" t="s">
        <v>23</v>
      </c>
      <c r="F252" s="3" t="s">
        <v>42</v>
      </c>
      <c r="G252" s="3" t="n">
        <v>1</v>
      </c>
      <c r="H252" s="3" t="n">
        <v>1299</v>
      </c>
      <c r="I252" s="3" t="n">
        <f aca="false">G252*H252</f>
        <v>1299</v>
      </c>
    </row>
    <row r="253" customFormat="false" ht="15" hidden="false" customHeight="false" outlineLevel="0" collapsed="false">
      <c r="A253" s="3" t="s">
        <v>572</v>
      </c>
      <c r="B253" s="3" t="s">
        <v>1142</v>
      </c>
      <c r="C253" s="3" t="s">
        <v>45</v>
      </c>
      <c r="D253" s="3" t="s">
        <v>12</v>
      </c>
      <c r="E253" s="3" t="s">
        <v>13</v>
      </c>
      <c r="F253" s="3" t="s">
        <v>18</v>
      </c>
      <c r="G253" s="3" t="n">
        <v>2</v>
      </c>
      <c r="H253" s="3" t="n">
        <v>499</v>
      </c>
      <c r="I253" s="3" t="n">
        <f aca="false">G253*H253</f>
        <v>998</v>
      </c>
    </row>
    <row r="254" customFormat="false" ht="15" hidden="false" customHeight="false" outlineLevel="0" collapsed="false">
      <c r="A254" s="3" t="s">
        <v>558</v>
      </c>
      <c r="B254" s="3" t="s">
        <v>1142</v>
      </c>
      <c r="C254" s="3" t="s">
        <v>105</v>
      </c>
      <c r="D254" s="3" t="s">
        <v>32</v>
      </c>
      <c r="E254" s="3" t="s">
        <v>56</v>
      </c>
      <c r="F254" s="3" t="s">
        <v>28</v>
      </c>
      <c r="G254" s="3" t="n">
        <v>14</v>
      </c>
      <c r="H254" s="3" t="n">
        <v>1799</v>
      </c>
      <c r="I254" s="3" t="n">
        <f aca="false">G254*H254</f>
        <v>25186</v>
      </c>
    </row>
    <row r="255" customFormat="false" ht="15" hidden="false" customHeight="false" outlineLevel="0" collapsed="false">
      <c r="A255" s="3" t="s">
        <v>106</v>
      </c>
      <c r="B255" s="3" t="s">
        <v>1142</v>
      </c>
      <c r="C255" s="3" t="s">
        <v>27</v>
      </c>
      <c r="D255" s="3" t="s">
        <v>22</v>
      </c>
      <c r="E255" s="3" t="s">
        <v>41</v>
      </c>
      <c r="F255" s="3" t="s">
        <v>24</v>
      </c>
      <c r="G255" s="3" t="n">
        <v>5</v>
      </c>
      <c r="H255" s="3" t="n">
        <v>899</v>
      </c>
      <c r="I255" s="3" t="n">
        <f aca="false">G255*H255</f>
        <v>4495</v>
      </c>
    </row>
    <row r="256" customFormat="false" ht="15" hidden="false" customHeight="false" outlineLevel="0" collapsed="false">
      <c r="A256" s="3" t="s">
        <v>36</v>
      </c>
      <c r="B256" s="3" t="s">
        <v>1142</v>
      </c>
      <c r="C256" s="3" t="s">
        <v>38</v>
      </c>
      <c r="D256" s="3" t="s">
        <v>32</v>
      </c>
      <c r="E256" s="3" t="s">
        <v>13</v>
      </c>
      <c r="F256" s="3" t="s">
        <v>18</v>
      </c>
      <c r="G256" s="3" t="n">
        <v>2</v>
      </c>
      <c r="H256" s="3" t="n">
        <v>1999</v>
      </c>
      <c r="I256" s="3" t="n">
        <f aca="false">G256*H256</f>
        <v>3998</v>
      </c>
    </row>
    <row r="257" customFormat="false" ht="15" hidden="false" customHeight="false" outlineLevel="0" collapsed="false">
      <c r="A257" s="3" t="s">
        <v>440</v>
      </c>
      <c r="B257" s="3" t="s">
        <v>1143</v>
      </c>
      <c r="C257" s="3" t="s">
        <v>38</v>
      </c>
      <c r="D257" s="3" t="s">
        <v>32</v>
      </c>
      <c r="E257" s="3" t="s">
        <v>13</v>
      </c>
      <c r="F257" s="3" t="s">
        <v>35</v>
      </c>
      <c r="G257" s="3" t="n">
        <v>1</v>
      </c>
      <c r="H257" s="3" t="n">
        <v>1999</v>
      </c>
      <c r="I257" s="3" t="n">
        <f aca="false">G257*H257</f>
        <v>1999</v>
      </c>
    </row>
    <row r="258" customFormat="false" ht="15" hidden="false" customHeight="false" outlineLevel="0" collapsed="false">
      <c r="A258" s="3" t="s">
        <v>433</v>
      </c>
      <c r="B258" s="3" t="s">
        <v>1143</v>
      </c>
      <c r="C258" s="3" t="s">
        <v>38</v>
      </c>
      <c r="D258" s="3" t="s">
        <v>32</v>
      </c>
      <c r="E258" s="3" t="s">
        <v>41</v>
      </c>
      <c r="F258" s="3" t="s">
        <v>28</v>
      </c>
      <c r="G258" s="3" t="n">
        <v>8</v>
      </c>
      <c r="H258" s="3" t="n">
        <v>1999</v>
      </c>
      <c r="I258" s="3" t="n">
        <f aca="false">G258*H258</f>
        <v>15992</v>
      </c>
    </row>
    <row r="259" customFormat="false" ht="15" hidden="false" customHeight="false" outlineLevel="0" collapsed="false">
      <c r="A259" s="3" t="s">
        <v>729</v>
      </c>
      <c r="B259" s="3" t="s">
        <v>1143</v>
      </c>
      <c r="C259" s="3" t="s">
        <v>75</v>
      </c>
      <c r="D259" s="3" t="s">
        <v>32</v>
      </c>
      <c r="E259" s="3" t="s">
        <v>23</v>
      </c>
      <c r="F259" s="3" t="s">
        <v>42</v>
      </c>
      <c r="G259" s="3" t="n">
        <v>14</v>
      </c>
      <c r="H259" s="3" t="n">
        <v>8999</v>
      </c>
      <c r="I259" s="3" t="n">
        <f aca="false">G259*H259</f>
        <v>125986</v>
      </c>
    </row>
    <row r="260" customFormat="false" ht="15" hidden="false" customHeight="false" outlineLevel="0" collapsed="false">
      <c r="A260" s="3" t="s">
        <v>353</v>
      </c>
      <c r="B260" s="3" t="s">
        <v>1143</v>
      </c>
      <c r="C260" s="3" t="s">
        <v>16</v>
      </c>
      <c r="D260" s="3" t="s">
        <v>12</v>
      </c>
      <c r="E260" s="3" t="s">
        <v>23</v>
      </c>
      <c r="F260" s="3" t="s">
        <v>28</v>
      </c>
      <c r="G260" s="3" t="n">
        <v>5</v>
      </c>
      <c r="H260" s="3" t="n">
        <v>2499</v>
      </c>
      <c r="I260" s="3" t="n">
        <f aca="false">G260*H260</f>
        <v>12495</v>
      </c>
    </row>
    <row r="261" customFormat="false" ht="15" hidden="false" customHeight="false" outlineLevel="0" collapsed="false">
      <c r="A261" s="3" t="s">
        <v>337</v>
      </c>
      <c r="B261" s="3" t="s">
        <v>1144</v>
      </c>
      <c r="C261" s="3" t="s">
        <v>45</v>
      </c>
      <c r="D261" s="3" t="s">
        <v>12</v>
      </c>
      <c r="E261" s="3" t="s">
        <v>41</v>
      </c>
      <c r="F261" s="3" t="s">
        <v>35</v>
      </c>
      <c r="G261" s="3" t="n">
        <v>6</v>
      </c>
      <c r="H261" s="3" t="n">
        <v>499</v>
      </c>
      <c r="I261" s="3" t="n">
        <f aca="false">G261*H261</f>
        <v>2994</v>
      </c>
    </row>
    <row r="262" customFormat="false" ht="15" hidden="false" customHeight="false" outlineLevel="0" collapsed="false">
      <c r="A262" s="3" t="s">
        <v>65</v>
      </c>
      <c r="B262" s="3" t="s">
        <v>1144</v>
      </c>
      <c r="C262" s="3" t="s">
        <v>21</v>
      </c>
      <c r="D262" s="3" t="s">
        <v>22</v>
      </c>
      <c r="E262" s="3" t="s">
        <v>41</v>
      </c>
      <c r="F262" s="3" t="s">
        <v>24</v>
      </c>
      <c r="G262" s="3" t="n">
        <v>11</v>
      </c>
      <c r="H262" s="3" t="n">
        <v>699</v>
      </c>
      <c r="I262" s="3" t="n">
        <f aca="false">G262*H262</f>
        <v>7689</v>
      </c>
    </row>
    <row r="263" customFormat="false" ht="15" hidden="false" customHeight="false" outlineLevel="0" collapsed="false">
      <c r="A263" s="3" t="s">
        <v>824</v>
      </c>
      <c r="B263" s="3" t="s">
        <v>1145</v>
      </c>
      <c r="C263" s="3" t="s">
        <v>16</v>
      </c>
      <c r="D263" s="3" t="s">
        <v>12</v>
      </c>
      <c r="E263" s="3" t="s">
        <v>41</v>
      </c>
      <c r="F263" s="3" t="s">
        <v>18</v>
      </c>
      <c r="G263" s="3" t="n">
        <v>5</v>
      </c>
      <c r="H263" s="3" t="n">
        <v>2499</v>
      </c>
      <c r="I263" s="3" t="n">
        <f aca="false">G263*H263</f>
        <v>12495</v>
      </c>
    </row>
    <row r="264" customFormat="false" ht="15" hidden="false" customHeight="false" outlineLevel="0" collapsed="false">
      <c r="A264" s="3" t="s">
        <v>335</v>
      </c>
      <c r="B264" s="3" t="s">
        <v>1145</v>
      </c>
      <c r="C264" s="3" t="s">
        <v>55</v>
      </c>
      <c r="D264" s="3" t="s">
        <v>12</v>
      </c>
      <c r="E264" s="3" t="s">
        <v>23</v>
      </c>
      <c r="F264" s="3" t="s">
        <v>18</v>
      </c>
      <c r="G264" s="3" t="n">
        <v>1</v>
      </c>
      <c r="H264" s="3" t="n">
        <v>299</v>
      </c>
      <c r="I264" s="3" t="n">
        <f aca="false">G264*H264</f>
        <v>299</v>
      </c>
    </row>
    <row r="265" customFormat="false" ht="15" hidden="false" customHeight="false" outlineLevel="0" collapsed="false">
      <c r="A265" s="3" t="s">
        <v>583</v>
      </c>
      <c r="B265" s="3" t="s">
        <v>1146</v>
      </c>
      <c r="C265" s="3" t="s">
        <v>93</v>
      </c>
      <c r="D265" s="3" t="s">
        <v>12</v>
      </c>
      <c r="E265" s="3" t="s">
        <v>41</v>
      </c>
      <c r="F265" s="3" t="s">
        <v>42</v>
      </c>
      <c r="G265" s="3" t="n">
        <v>8</v>
      </c>
      <c r="H265" s="3" t="n">
        <v>1299</v>
      </c>
      <c r="I265" s="3" t="n">
        <f aca="false">G265*H265</f>
        <v>10392</v>
      </c>
    </row>
    <row r="266" customFormat="false" ht="15" hidden="false" customHeight="false" outlineLevel="0" collapsed="false">
      <c r="A266" s="3" t="s">
        <v>869</v>
      </c>
      <c r="B266" s="3" t="s">
        <v>1147</v>
      </c>
      <c r="C266" s="3" t="s">
        <v>16</v>
      </c>
      <c r="D266" s="3" t="s">
        <v>12</v>
      </c>
      <c r="E266" s="3" t="s">
        <v>56</v>
      </c>
      <c r="F266" s="3" t="s">
        <v>42</v>
      </c>
      <c r="G266" s="3" t="n">
        <v>11</v>
      </c>
      <c r="H266" s="3" t="n">
        <v>2499</v>
      </c>
      <c r="I266" s="3" t="n">
        <f aca="false">G266*H266</f>
        <v>27489</v>
      </c>
    </row>
    <row r="267" customFormat="false" ht="15" hidden="false" customHeight="false" outlineLevel="0" collapsed="false">
      <c r="A267" s="3" t="s">
        <v>828</v>
      </c>
      <c r="B267" s="3" t="s">
        <v>1148</v>
      </c>
      <c r="C267" s="3" t="s">
        <v>31</v>
      </c>
      <c r="D267" s="3" t="s">
        <v>32</v>
      </c>
      <c r="E267" s="3" t="s">
        <v>23</v>
      </c>
      <c r="F267" s="3" t="s">
        <v>18</v>
      </c>
      <c r="G267" s="3" t="n">
        <v>8</v>
      </c>
      <c r="H267" s="3" t="n">
        <v>1499</v>
      </c>
      <c r="I267" s="3" t="n">
        <f aca="false">G267*H267</f>
        <v>11992</v>
      </c>
    </row>
    <row r="268" customFormat="false" ht="15" hidden="false" customHeight="false" outlineLevel="0" collapsed="false">
      <c r="A268" s="3" t="s">
        <v>196</v>
      </c>
      <c r="B268" s="3" t="s">
        <v>1149</v>
      </c>
      <c r="C268" s="3" t="s">
        <v>93</v>
      </c>
      <c r="D268" s="3" t="s">
        <v>12</v>
      </c>
      <c r="E268" s="3" t="s">
        <v>56</v>
      </c>
      <c r="F268" s="3" t="s">
        <v>24</v>
      </c>
      <c r="G268" s="3" t="n">
        <v>10</v>
      </c>
      <c r="H268" s="3" t="n">
        <v>1299</v>
      </c>
      <c r="I268" s="3" t="n">
        <f aca="false">G268*H268</f>
        <v>12990</v>
      </c>
    </row>
    <row r="269" customFormat="false" ht="15" hidden="false" customHeight="false" outlineLevel="0" collapsed="false">
      <c r="A269" s="3" t="s">
        <v>441</v>
      </c>
      <c r="B269" s="3" t="s">
        <v>1150</v>
      </c>
      <c r="C269" s="3" t="s">
        <v>45</v>
      </c>
      <c r="D269" s="3" t="s">
        <v>12</v>
      </c>
      <c r="E269" s="3" t="s">
        <v>23</v>
      </c>
      <c r="F269" s="3" t="s">
        <v>18</v>
      </c>
      <c r="G269" s="3" t="n">
        <v>13</v>
      </c>
      <c r="H269" s="3" t="n">
        <v>499</v>
      </c>
      <c r="I269" s="3" t="n">
        <f aca="false">G269*H269</f>
        <v>6487</v>
      </c>
    </row>
    <row r="270" customFormat="false" ht="15" hidden="false" customHeight="false" outlineLevel="0" collapsed="false">
      <c r="A270" s="3" t="s">
        <v>483</v>
      </c>
      <c r="B270" s="3" t="s">
        <v>1151</v>
      </c>
      <c r="C270" s="3" t="s">
        <v>27</v>
      </c>
      <c r="D270" s="3" t="s">
        <v>22</v>
      </c>
      <c r="E270" s="3" t="s">
        <v>41</v>
      </c>
      <c r="F270" s="3" t="s">
        <v>42</v>
      </c>
      <c r="G270" s="3" t="n">
        <v>11</v>
      </c>
      <c r="H270" s="3" t="n">
        <v>899</v>
      </c>
      <c r="I270" s="3" t="n">
        <f aca="false">G270*H270</f>
        <v>9889</v>
      </c>
    </row>
    <row r="271" customFormat="false" ht="15" hidden="false" customHeight="false" outlineLevel="0" collapsed="false">
      <c r="A271" s="3" t="s">
        <v>909</v>
      </c>
      <c r="B271" s="3" t="s">
        <v>1152</v>
      </c>
      <c r="C271" s="3" t="s">
        <v>75</v>
      </c>
      <c r="D271" s="3" t="s">
        <v>32</v>
      </c>
      <c r="E271" s="3" t="s">
        <v>13</v>
      </c>
      <c r="F271" s="3" t="s">
        <v>24</v>
      </c>
      <c r="G271" s="3" t="n">
        <v>3</v>
      </c>
      <c r="H271" s="3" t="n">
        <v>8999</v>
      </c>
      <c r="I271" s="3" t="n">
        <f aca="false">G271*H271</f>
        <v>26997</v>
      </c>
    </row>
    <row r="272" customFormat="false" ht="15" hidden="false" customHeight="false" outlineLevel="0" collapsed="false">
      <c r="A272" s="3" t="s">
        <v>946</v>
      </c>
      <c r="B272" s="3" t="s">
        <v>1152</v>
      </c>
      <c r="C272" s="3" t="s">
        <v>21</v>
      </c>
      <c r="D272" s="3" t="s">
        <v>22</v>
      </c>
      <c r="E272" s="3" t="s">
        <v>56</v>
      </c>
      <c r="F272" s="3" t="s">
        <v>24</v>
      </c>
      <c r="G272" s="3" t="n">
        <v>4</v>
      </c>
      <c r="H272" s="3" t="n">
        <v>699</v>
      </c>
      <c r="I272" s="3" t="n">
        <f aca="false">G272*H272</f>
        <v>2796</v>
      </c>
    </row>
    <row r="273" customFormat="false" ht="15" hidden="false" customHeight="false" outlineLevel="0" collapsed="false">
      <c r="A273" s="3" t="s">
        <v>260</v>
      </c>
      <c r="B273" s="3" t="s">
        <v>1153</v>
      </c>
      <c r="C273" s="3" t="s">
        <v>105</v>
      </c>
      <c r="D273" s="3" t="s">
        <v>32</v>
      </c>
      <c r="E273" s="3" t="s">
        <v>23</v>
      </c>
      <c r="F273" s="3" t="s">
        <v>28</v>
      </c>
      <c r="G273" s="3" t="n">
        <v>10</v>
      </c>
      <c r="H273" s="3" t="n">
        <v>1799</v>
      </c>
      <c r="I273" s="3" t="n">
        <f aca="false">G273*H273</f>
        <v>17990</v>
      </c>
    </row>
    <row r="274" customFormat="false" ht="15" hidden="false" customHeight="false" outlineLevel="0" collapsed="false">
      <c r="A274" s="3" t="s">
        <v>550</v>
      </c>
      <c r="B274" s="3" t="s">
        <v>1153</v>
      </c>
      <c r="C274" s="3" t="s">
        <v>45</v>
      </c>
      <c r="D274" s="3" t="s">
        <v>12</v>
      </c>
      <c r="E274" s="3" t="s">
        <v>56</v>
      </c>
      <c r="F274" s="3" t="s">
        <v>28</v>
      </c>
      <c r="G274" s="3" t="n">
        <v>10</v>
      </c>
      <c r="H274" s="3" t="n">
        <v>499</v>
      </c>
      <c r="I274" s="3" t="n">
        <f aca="false">G274*H274</f>
        <v>4990</v>
      </c>
    </row>
    <row r="275" customFormat="false" ht="15" hidden="false" customHeight="false" outlineLevel="0" collapsed="false">
      <c r="A275" s="3" t="s">
        <v>987</v>
      </c>
      <c r="B275" s="3" t="s">
        <v>1154</v>
      </c>
      <c r="C275" s="3" t="s">
        <v>31</v>
      </c>
      <c r="D275" s="3" t="s">
        <v>32</v>
      </c>
      <c r="E275" s="3" t="s">
        <v>13</v>
      </c>
      <c r="F275" s="3" t="s">
        <v>42</v>
      </c>
      <c r="G275" s="3" t="n">
        <v>13</v>
      </c>
      <c r="H275" s="3" t="n">
        <v>1499</v>
      </c>
      <c r="I275" s="3" t="n">
        <f aca="false">G275*H275</f>
        <v>19487</v>
      </c>
    </row>
    <row r="276" customFormat="false" ht="15" hidden="false" customHeight="false" outlineLevel="0" collapsed="false">
      <c r="A276" s="3" t="s">
        <v>465</v>
      </c>
      <c r="B276" s="3" t="s">
        <v>1155</v>
      </c>
      <c r="C276" s="3" t="s">
        <v>31</v>
      </c>
      <c r="D276" s="3" t="s">
        <v>32</v>
      </c>
      <c r="E276" s="3" t="s">
        <v>23</v>
      </c>
      <c r="F276" s="3" t="s">
        <v>18</v>
      </c>
      <c r="G276" s="3" t="n">
        <v>5</v>
      </c>
      <c r="H276" s="3" t="n">
        <v>1499</v>
      </c>
      <c r="I276" s="3" t="n">
        <f aca="false">G276*H276</f>
        <v>7495</v>
      </c>
    </row>
    <row r="277" customFormat="false" ht="15" hidden="false" customHeight="false" outlineLevel="0" collapsed="false">
      <c r="A277" s="3" t="s">
        <v>142</v>
      </c>
      <c r="B277" s="3" t="s">
        <v>1156</v>
      </c>
      <c r="C277" s="3" t="s">
        <v>93</v>
      </c>
      <c r="D277" s="3" t="s">
        <v>12</v>
      </c>
      <c r="E277" s="3" t="s">
        <v>13</v>
      </c>
      <c r="F277" s="3" t="s">
        <v>28</v>
      </c>
      <c r="G277" s="3" t="n">
        <v>10</v>
      </c>
      <c r="H277" s="3" t="n">
        <v>1299</v>
      </c>
      <c r="I277" s="3" t="n">
        <f aca="false">G277*H277</f>
        <v>12990</v>
      </c>
    </row>
    <row r="278" customFormat="false" ht="15" hidden="false" customHeight="false" outlineLevel="0" collapsed="false">
      <c r="A278" s="3" t="s">
        <v>49</v>
      </c>
      <c r="B278" s="3" t="s">
        <v>1156</v>
      </c>
      <c r="C278" s="3" t="s">
        <v>27</v>
      </c>
      <c r="D278" s="3" t="s">
        <v>22</v>
      </c>
      <c r="E278" s="3" t="s">
        <v>23</v>
      </c>
      <c r="F278" s="3" t="s">
        <v>35</v>
      </c>
      <c r="G278" s="3" t="n">
        <v>14</v>
      </c>
      <c r="H278" s="3" t="n">
        <v>899</v>
      </c>
      <c r="I278" s="3" t="n">
        <f aca="false">G278*H278</f>
        <v>12586</v>
      </c>
    </row>
    <row r="279" customFormat="false" ht="15" hidden="false" customHeight="false" outlineLevel="0" collapsed="false">
      <c r="A279" s="3" t="s">
        <v>774</v>
      </c>
      <c r="B279" s="3" t="s">
        <v>1156</v>
      </c>
      <c r="C279" s="3" t="s">
        <v>21</v>
      </c>
      <c r="D279" s="3" t="s">
        <v>22</v>
      </c>
      <c r="E279" s="3" t="s">
        <v>13</v>
      </c>
      <c r="F279" s="3" t="s">
        <v>28</v>
      </c>
      <c r="G279" s="3" t="n">
        <v>3</v>
      </c>
      <c r="H279" s="3" t="n">
        <v>699</v>
      </c>
      <c r="I279" s="3" t="n">
        <f aca="false">G279*H279</f>
        <v>2097</v>
      </c>
    </row>
    <row r="280" customFormat="false" ht="15" hidden="false" customHeight="false" outlineLevel="0" collapsed="false">
      <c r="A280" s="3" t="s">
        <v>585</v>
      </c>
      <c r="B280" s="3" t="s">
        <v>1157</v>
      </c>
      <c r="C280" s="3" t="s">
        <v>45</v>
      </c>
      <c r="D280" s="3" t="s">
        <v>12</v>
      </c>
      <c r="E280" s="3" t="s">
        <v>13</v>
      </c>
      <c r="F280" s="3" t="s">
        <v>35</v>
      </c>
      <c r="G280" s="3" t="n">
        <v>11</v>
      </c>
      <c r="H280" s="3" t="n">
        <v>499</v>
      </c>
      <c r="I280" s="3" t="n">
        <f aca="false">G280*H280</f>
        <v>5489</v>
      </c>
    </row>
    <row r="281" customFormat="false" ht="15" hidden="false" customHeight="false" outlineLevel="0" collapsed="false">
      <c r="A281" s="3" t="s">
        <v>78</v>
      </c>
      <c r="B281" s="3" t="s">
        <v>1158</v>
      </c>
      <c r="C281" s="3" t="s">
        <v>27</v>
      </c>
      <c r="D281" s="3" t="s">
        <v>22</v>
      </c>
      <c r="E281" s="3" t="s">
        <v>13</v>
      </c>
      <c r="F281" s="3" t="s">
        <v>35</v>
      </c>
      <c r="G281" s="3" t="n">
        <v>2</v>
      </c>
      <c r="H281" s="3" t="n">
        <v>899</v>
      </c>
      <c r="I281" s="3" t="n">
        <f aca="false">G281*H281</f>
        <v>1798</v>
      </c>
    </row>
    <row r="282" customFormat="false" ht="15" hidden="false" customHeight="false" outlineLevel="0" collapsed="false">
      <c r="A282" s="3" t="s">
        <v>329</v>
      </c>
      <c r="B282" s="3" t="s">
        <v>1159</v>
      </c>
      <c r="C282" s="3" t="s">
        <v>16</v>
      </c>
      <c r="D282" s="3" t="s">
        <v>12</v>
      </c>
      <c r="E282" s="3" t="s">
        <v>41</v>
      </c>
      <c r="F282" s="3" t="s">
        <v>24</v>
      </c>
      <c r="G282" s="3" t="n">
        <v>13</v>
      </c>
      <c r="H282" s="3" t="n">
        <v>2499</v>
      </c>
      <c r="I282" s="3" t="n">
        <f aca="false">G282*H282</f>
        <v>32487</v>
      </c>
    </row>
    <row r="283" customFormat="false" ht="15" hidden="false" customHeight="false" outlineLevel="0" collapsed="false">
      <c r="A283" s="3" t="s">
        <v>362</v>
      </c>
      <c r="B283" s="3" t="s">
        <v>1160</v>
      </c>
      <c r="C283" s="3" t="s">
        <v>93</v>
      </c>
      <c r="D283" s="3" t="s">
        <v>12</v>
      </c>
      <c r="E283" s="3" t="s">
        <v>23</v>
      </c>
      <c r="F283" s="3" t="s">
        <v>28</v>
      </c>
      <c r="G283" s="3" t="n">
        <v>12</v>
      </c>
      <c r="H283" s="3" t="n">
        <v>1299</v>
      </c>
      <c r="I283" s="3" t="n">
        <f aca="false">G283*H283</f>
        <v>15588</v>
      </c>
    </row>
    <row r="284" customFormat="false" ht="15" hidden="false" customHeight="false" outlineLevel="0" collapsed="false">
      <c r="A284" s="3" t="s">
        <v>600</v>
      </c>
      <c r="B284" s="3" t="s">
        <v>1160</v>
      </c>
      <c r="C284" s="3" t="s">
        <v>93</v>
      </c>
      <c r="D284" s="3" t="s">
        <v>12</v>
      </c>
      <c r="E284" s="3" t="s">
        <v>13</v>
      </c>
      <c r="F284" s="3" t="s">
        <v>28</v>
      </c>
      <c r="G284" s="3" t="n">
        <v>1</v>
      </c>
      <c r="H284" s="3" t="n">
        <v>1299</v>
      </c>
      <c r="I284" s="3" t="n">
        <f aca="false">G284*H284</f>
        <v>1299</v>
      </c>
    </row>
    <row r="285" customFormat="false" ht="15" hidden="false" customHeight="false" outlineLevel="0" collapsed="false">
      <c r="A285" s="3" t="s">
        <v>206</v>
      </c>
      <c r="B285" s="3" t="s">
        <v>1160</v>
      </c>
      <c r="C285" s="3" t="s">
        <v>16</v>
      </c>
      <c r="D285" s="3" t="s">
        <v>12</v>
      </c>
      <c r="E285" s="3" t="s">
        <v>13</v>
      </c>
      <c r="F285" s="3" t="s">
        <v>24</v>
      </c>
      <c r="G285" s="3" t="n">
        <v>1</v>
      </c>
      <c r="H285" s="3" t="n">
        <v>2499</v>
      </c>
      <c r="I285" s="3" t="n">
        <f aca="false">G285*H285</f>
        <v>2499</v>
      </c>
    </row>
    <row r="286" customFormat="false" ht="15" hidden="false" customHeight="false" outlineLevel="0" collapsed="false">
      <c r="A286" s="3" t="s">
        <v>553</v>
      </c>
      <c r="B286" s="3" t="s">
        <v>1161</v>
      </c>
      <c r="C286" s="3" t="s">
        <v>55</v>
      </c>
      <c r="D286" s="3" t="s">
        <v>12</v>
      </c>
      <c r="E286" s="3" t="s">
        <v>41</v>
      </c>
      <c r="F286" s="3" t="s">
        <v>35</v>
      </c>
      <c r="G286" s="3" t="n">
        <v>8</v>
      </c>
      <c r="H286" s="3" t="n">
        <v>299</v>
      </c>
      <c r="I286" s="3" t="n">
        <f aca="false">G286*H286</f>
        <v>2392</v>
      </c>
    </row>
    <row r="287" customFormat="false" ht="15" hidden="false" customHeight="false" outlineLevel="0" collapsed="false">
      <c r="A287" s="3" t="s">
        <v>887</v>
      </c>
      <c r="B287" s="3" t="s">
        <v>1161</v>
      </c>
      <c r="C287" s="3" t="s">
        <v>45</v>
      </c>
      <c r="D287" s="3" t="s">
        <v>12</v>
      </c>
      <c r="E287" s="3" t="s">
        <v>13</v>
      </c>
      <c r="F287" s="3" t="s">
        <v>35</v>
      </c>
      <c r="G287" s="3" t="n">
        <v>6</v>
      </c>
      <c r="H287" s="3" t="n">
        <v>499</v>
      </c>
      <c r="I287" s="3" t="n">
        <f aca="false">G287*H287</f>
        <v>2994</v>
      </c>
    </row>
    <row r="288" customFormat="false" ht="15" hidden="false" customHeight="false" outlineLevel="0" collapsed="false">
      <c r="A288" s="3" t="s">
        <v>575</v>
      </c>
      <c r="B288" s="3" t="s">
        <v>1162</v>
      </c>
      <c r="C288" s="3" t="s">
        <v>105</v>
      </c>
      <c r="D288" s="3" t="s">
        <v>32</v>
      </c>
      <c r="E288" s="3" t="s">
        <v>56</v>
      </c>
      <c r="F288" s="3" t="s">
        <v>24</v>
      </c>
      <c r="G288" s="3" t="n">
        <v>9</v>
      </c>
      <c r="H288" s="3" t="n">
        <v>1799</v>
      </c>
      <c r="I288" s="3" t="n">
        <f aca="false">G288*H288</f>
        <v>16191</v>
      </c>
    </row>
    <row r="289" customFormat="false" ht="15" hidden="false" customHeight="false" outlineLevel="0" collapsed="false">
      <c r="A289" s="3" t="s">
        <v>743</v>
      </c>
      <c r="B289" s="3" t="s">
        <v>1163</v>
      </c>
      <c r="C289" s="3" t="s">
        <v>38</v>
      </c>
      <c r="D289" s="3" t="s">
        <v>32</v>
      </c>
      <c r="E289" s="3" t="s">
        <v>41</v>
      </c>
      <c r="F289" s="3" t="s">
        <v>24</v>
      </c>
      <c r="G289" s="3" t="n">
        <v>12</v>
      </c>
      <c r="H289" s="3" t="n">
        <v>1999</v>
      </c>
      <c r="I289" s="3" t="n">
        <f aca="false">G289*H289</f>
        <v>23988</v>
      </c>
    </row>
    <row r="290" customFormat="false" ht="15" hidden="false" customHeight="false" outlineLevel="0" collapsed="false">
      <c r="A290" s="3" t="s">
        <v>861</v>
      </c>
      <c r="B290" s="3" t="s">
        <v>1164</v>
      </c>
      <c r="C290" s="3" t="s">
        <v>45</v>
      </c>
      <c r="D290" s="3" t="s">
        <v>12</v>
      </c>
      <c r="E290" s="3" t="s">
        <v>23</v>
      </c>
      <c r="F290" s="3" t="s">
        <v>42</v>
      </c>
      <c r="G290" s="3" t="n">
        <v>10</v>
      </c>
      <c r="H290" s="3" t="n">
        <v>499</v>
      </c>
      <c r="I290" s="3" t="n">
        <f aca="false">G290*H290</f>
        <v>4990</v>
      </c>
    </row>
    <row r="291" customFormat="false" ht="15" hidden="false" customHeight="false" outlineLevel="0" collapsed="false">
      <c r="A291" s="3" t="s">
        <v>929</v>
      </c>
      <c r="B291" s="3" t="s">
        <v>1164</v>
      </c>
      <c r="C291" s="3" t="s">
        <v>16</v>
      </c>
      <c r="D291" s="3" t="s">
        <v>12</v>
      </c>
      <c r="E291" s="3" t="s">
        <v>13</v>
      </c>
      <c r="F291" s="3" t="s">
        <v>28</v>
      </c>
      <c r="G291" s="3" t="n">
        <v>7</v>
      </c>
      <c r="H291" s="3" t="n">
        <v>2499</v>
      </c>
      <c r="I291" s="3" t="n">
        <f aca="false">G291*H291</f>
        <v>17493</v>
      </c>
    </row>
    <row r="292" customFormat="false" ht="15" hidden="false" customHeight="false" outlineLevel="0" collapsed="false">
      <c r="A292" s="3" t="s">
        <v>966</v>
      </c>
      <c r="B292" s="3" t="s">
        <v>1165</v>
      </c>
      <c r="C292" s="3" t="s">
        <v>27</v>
      </c>
      <c r="D292" s="3" t="s">
        <v>22</v>
      </c>
      <c r="E292" s="3" t="s">
        <v>41</v>
      </c>
      <c r="F292" s="3" t="s">
        <v>18</v>
      </c>
      <c r="G292" s="3" t="n">
        <v>1</v>
      </c>
      <c r="H292" s="3" t="n">
        <v>899</v>
      </c>
      <c r="I292" s="3" t="n">
        <f aca="false">G292*H292</f>
        <v>899</v>
      </c>
    </row>
    <row r="293" customFormat="false" ht="15" hidden="false" customHeight="false" outlineLevel="0" collapsed="false">
      <c r="A293" s="3" t="s">
        <v>1001</v>
      </c>
      <c r="B293" s="3" t="s">
        <v>1165</v>
      </c>
      <c r="C293" s="3" t="s">
        <v>93</v>
      </c>
      <c r="D293" s="3" t="s">
        <v>12</v>
      </c>
      <c r="E293" s="3" t="s">
        <v>41</v>
      </c>
      <c r="F293" s="3" t="s">
        <v>18</v>
      </c>
      <c r="G293" s="3" t="n">
        <v>4</v>
      </c>
      <c r="H293" s="3" t="n">
        <v>1299</v>
      </c>
      <c r="I293" s="3" t="n">
        <f aca="false">G293*H293</f>
        <v>5196</v>
      </c>
    </row>
    <row r="294" customFormat="false" ht="15" hidden="false" customHeight="false" outlineLevel="0" collapsed="false">
      <c r="A294" s="3" t="s">
        <v>930</v>
      </c>
      <c r="B294" s="3" t="s">
        <v>1166</v>
      </c>
      <c r="C294" s="3" t="s">
        <v>27</v>
      </c>
      <c r="D294" s="3" t="s">
        <v>22</v>
      </c>
      <c r="E294" s="3" t="s">
        <v>13</v>
      </c>
      <c r="F294" s="3" t="s">
        <v>35</v>
      </c>
      <c r="G294" s="3" t="n">
        <v>3</v>
      </c>
      <c r="H294" s="3" t="n">
        <v>899</v>
      </c>
      <c r="I294" s="3" t="n">
        <f aca="false">G294*H294</f>
        <v>2697</v>
      </c>
    </row>
    <row r="295" customFormat="false" ht="15" hidden="false" customHeight="false" outlineLevel="0" collapsed="false">
      <c r="A295" s="3" t="s">
        <v>284</v>
      </c>
      <c r="B295" s="3" t="s">
        <v>1166</v>
      </c>
      <c r="C295" s="3" t="s">
        <v>21</v>
      </c>
      <c r="D295" s="3" t="s">
        <v>22</v>
      </c>
      <c r="E295" s="3" t="s">
        <v>13</v>
      </c>
      <c r="F295" s="3" t="s">
        <v>28</v>
      </c>
      <c r="G295" s="3" t="n">
        <v>6</v>
      </c>
      <c r="H295" s="3" t="n">
        <v>699</v>
      </c>
      <c r="I295" s="3" t="n">
        <f aca="false">G295*H295</f>
        <v>4194</v>
      </c>
    </row>
    <row r="296" customFormat="false" ht="15" hidden="false" customHeight="false" outlineLevel="0" collapsed="false">
      <c r="A296" s="3" t="s">
        <v>171</v>
      </c>
      <c r="B296" s="3" t="s">
        <v>1167</v>
      </c>
      <c r="C296" s="3" t="s">
        <v>38</v>
      </c>
      <c r="D296" s="3" t="s">
        <v>32</v>
      </c>
      <c r="E296" s="3" t="s">
        <v>13</v>
      </c>
      <c r="F296" s="3" t="s">
        <v>18</v>
      </c>
      <c r="G296" s="3" t="n">
        <v>2</v>
      </c>
      <c r="H296" s="3" t="n">
        <v>1999</v>
      </c>
      <c r="I296" s="3" t="n">
        <f aca="false">G296*H296</f>
        <v>3998</v>
      </c>
    </row>
    <row r="297" customFormat="false" ht="15" hidden="false" customHeight="false" outlineLevel="0" collapsed="false">
      <c r="A297" s="3" t="s">
        <v>205</v>
      </c>
      <c r="B297" s="3" t="s">
        <v>1167</v>
      </c>
      <c r="C297" s="3" t="s">
        <v>45</v>
      </c>
      <c r="D297" s="3" t="s">
        <v>12</v>
      </c>
      <c r="E297" s="3" t="s">
        <v>23</v>
      </c>
      <c r="F297" s="3" t="s">
        <v>18</v>
      </c>
      <c r="G297" s="3" t="n">
        <v>5</v>
      </c>
      <c r="H297" s="3" t="n">
        <v>499</v>
      </c>
      <c r="I297" s="3" t="n">
        <f aca="false">G297*H297</f>
        <v>2495</v>
      </c>
    </row>
    <row r="298" customFormat="false" ht="15" hidden="false" customHeight="false" outlineLevel="0" collapsed="false">
      <c r="A298" s="3" t="s">
        <v>126</v>
      </c>
      <c r="B298" s="3" t="s">
        <v>1168</v>
      </c>
      <c r="C298" s="3" t="s">
        <v>93</v>
      </c>
      <c r="D298" s="3" t="s">
        <v>12</v>
      </c>
      <c r="E298" s="3" t="s">
        <v>41</v>
      </c>
      <c r="F298" s="3" t="s">
        <v>28</v>
      </c>
      <c r="G298" s="3" t="n">
        <v>7</v>
      </c>
      <c r="H298" s="3" t="n">
        <v>1299</v>
      </c>
      <c r="I298" s="3" t="n">
        <f aca="false">G298*H298</f>
        <v>9093</v>
      </c>
    </row>
    <row r="299" customFormat="false" ht="15" hidden="false" customHeight="false" outlineLevel="0" collapsed="false">
      <c r="A299" s="3" t="s">
        <v>603</v>
      </c>
      <c r="B299" s="3" t="s">
        <v>1169</v>
      </c>
      <c r="C299" s="3" t="s">
        <v>55</v>
      </c>
      <c r="D299" s="3" t="s">
        <v>12</v>
      </c>
      <c r="E299" s="3" t="s">
        <v>56</v>
      </c>
      <c r="F299" s="3" t="s">
        <v>24</v>
      </c>
      <c r="G299" s="3" t="n">
        <v>12</v>
      </c>
      <c r="H299" s="3" t="n">
        <v>299</v>
      </c>
      <c r="I299" s="3" t="n">
        <f aca="false">G299*H299</f>
        <v>3588</v>
      </c>
    </row>
    <row r="300" customFormat="false" ht="15" hidden="false" customHeight="false" outlineLevel="0" collapsed="false">
      <c r="A300" s="3" t="s">
        <v>159</v>
      </c>
      <c r="B300" s="3" t="s">
        <v>1169</v>
      </c>
      <c r="C300" s="3" t="s">
        <v>75</v>
      </c>
      <c r="D300" s="3" t="s">
        <v>32</v>
      </c>
      <c r="E300" s="3" t="s">
        <v>13</v>
      </c>
      <c r="F300" s="3" t="s">
        <v>24</v>
      </c>
      <c r="G300" s="3" t="n">
        <v>7</v>
      </c>
      <c r="H300" s="3" t="n">
        <v>8999</v>
      </c>
      <c r="I300" s="3" t="n">
        <f aca="false">G300*H300</f>
        <v>62993</v>
      </c>
    </row>
    <row r="301" customFormat="false" ht="15" hidden="false" customHeight="false" outlineLevel="0" collapsed="false">
      <c r="A301" s="3" t="s">
        <v>796</v>
      </c>
      <c r="B301" s="3" t="s">
        <v>1170</v>
      </c>
      <c r="C301" s="3" t="s">
        <v>93</v>
      </c>
      <c r="D301" s="3" t="s">
        <v>12</v>
      </c>
      <c r="E301" s="3" t="s">
        <v>23</v>
      </c>
      <c r="F301" s="3" t="s">
        <v>24</v>
      </c>
      <c r="G301" s="3" t="n">
        <v>11</v>
      </c>
      <c r="H301" s="3" t="n">
        <v>1299</v>
      </c>
      <c r="I301" s="3" t="n">
        <f aca="false">G301*H301</f>
        <v>14289</v>
      </c>
    </row>
    <row r="302" customFormat="false" ht="15" hidden="false" customHeight="false" outlineLevel="0" collapsed="false">
      <c r="A302" s="3" t="s">
        <v>646</v>
      </c>
      <c r="B302" s="3" t="s">
        <v>1170</v>
      </c>
      <c r="C302" s="3" t="s">
        <v>45</v>
      </c>
      <c r="D302" s="3" t="s">
        <v>12</v>
      </c>
      <c r="E302" s="3" t="s">
        <v>56</v>
      </c>
      <c r="F302" s="3" t="s">
        <v>42</v>
      </c>
      <c r="G302" s="3" t="n">
        <v>4</v>
      </c>
      <c r="H302" s="3" t="n">
        <v>499</v>
      </c>
      <c r="I302" s="3" t="n">
        <f aca="false">G302*H302</f>
        <v>1996</v>
      </c>
    </row>
    <row r="303" customFormat="false" ht="15" hidden="false" customHeight="false" outlineLevel="0" collapsed="false">
      <c r="A303" s="3" t="s">
        <v>373</v>
      </c>
      <c r="B303" s="3" t="s">
        <v>1170</v>
      </c>
      <c r="C303" s="3" t="s">
        <v>93</v>
      </c>
      <c r="D303" s="3" t="s">
        <v>12</v>
      </c>
      <c r="E303" s="3" t="s">
        <v>41</v>
      </c>
      <c r="F303" s="3" t="s">
        <v>18</v>
      </c>
      <c r="G303" s="3" t="n">
        <v>4</v>
      </c>
      <c r="H303" s="3" t="n">
        <v>1299</v>
      </c>
      <c r="I303" s="3" t="n">
        <f aca="false">G303*H303</f>
        <v>5196</v>
      </c>
    </row>
    <row r="304" customFormat="false" ht="15" hidden="false" customHeight="false" outlineLevel="0" collapsed="false">
      <c r="A304" s="3" t="s">
        <v>482</v>
      </c>
      <c r="B304" s="3" t="s">
        <v>1170</v>
      </c>
      <c r="C304" s="3" t="s">
        <v>55</v>
      </c>
      <c r="D304" s="3" t="s">
        <v>12</v>
      </c>
      <c r="E304" s="3" t="s">
        <v>41</v>
      </c>
      <c r="F304" s="3" t="s">
        <v>18</v>
      </c>
      <c r="G304" s="3" t="n">
        <v>14</v>
      </c>
      <c r="H304" s="3" t="n">
        <v>299</v>
      </c>
      <c r="I304" s="3" t="n">
        <f aca="false">G304*H304</f>
        <v>4186</v>
      </c>
    </row>
    <row r="305" customFormat="false" ht="15" hidden="false" customHeight="false" outlineLevel="0" collapsed="false">
      <c r="A305" s="3" t="s">
        <v>83</v>
      </c>
      <c r="B305" s="3" t="s">
        <v>1170</v>
      </c>
      <c r="C305" s="3" t="s">
        <v>31</v>
      </c>
      <c r="D305" s="3" t="s">
        <v>32</v>
      </c>
      <c r="E305" s="3" t="s">
        <v>56</v>
      </c>
      <c r="F305" s="3" t="s">
        <v>28</v>
      </c>
      <c r="G305" s="3" t="n">
        <v>8</v>
      </c>
      <c r="H305" s="3" t="n">
        <v>1499</v>
      </c>
      <c r="I305" s="3" t="n">
        <f aca="false">G305*H305</f>
        <v>11992</v>
      </c>
    </row>
    <row r="306" customFormat="false" ht="15" hidden="false" customHeight="false" outlineLevel="0" collapsed="false">
      <c r="A306" s="3" t="s">
        <v>939</v>
      </c>
      <c r="B306" s="3" t="s">
        <v>1171</v>
      </c>
      <c r="C306" s="3" t="s">
        <v>21</v>
      </c>
      <c r="D306" s="3" t="s">
        <v>22</v>
      </c>
      <c r="E306" s="3" t="s">
        <v>56</v>
      </c>
      <c r="F306" s="3" t="s">
        <v>35</v>
      </c>
      <c r="G306" s="3" t="n">
        <v>4</v>
      </c>
      <c r="H306" s="3" t="n">
        <v>699</v>
      </c>
      <c r="I306" s="3" t="n">
        <f aca="false">G306*H306</f>
        <v>2796</v>
      </c>
    </row>
    <row r="307" customFormat="false" ht="15" hidden="false" customHeight="false" outlineLevel="0" collapsed="false">
      <c r="A307" s="3" t="s">
        <v>612</v>
      </c>
      <c r="B307" s="3" t="s">
        <v>1171</v>
      </c>
      <c r="C307" s="3" t="s">
        <v>16</v>
      </c>
      <c r="D307" s="3" t="s">
        <v>12</v>
      </c>
      <c r="E307" s="3" t="s">
        <v>56</v>
      </c>
      <c r="F307" s="3" t="s">
        <v>42</v>
      </c>
      <c r="G307" s="3" t="n">
        <v>6</v>
      </c>
      <c r="H307" s="3" t="n">
        <v>2499</v>
      </c>
      <c r="I307" s="3" t="n">
        <f aca="false">G307*H307</f>
        <v>14994</v>
      </c>
    </row>
    <row r="308" customFormat="false" ht="15" hidden="false" customHeight="false" outlineLevel="0" collapsed="false">
      <c r="A308" s="3" t="s">
        <v>868</v>
      </c>
      <c r="B308" s="3" t="s">
        <v>1171</v>
      </c>
      <c r="C308" s="3" t="s">
        <v>93</v>
      </c>
      <c r="D308" s="3" t="s">
        <v>12</v>
      </c>
      <c r="E308" s="3" t="s">
        <v>13</v>
      </c>
      <c r="F308" s="3" t="s">
        <v>42</v>
      </c>
      <c r="G308" s="3" t="n">
        <v>6</v>
      </c>
      <c r="H308" s="3" t="n">
        <v>1299</v>
      </c>
      <c r="I308" s="3" t="n">
        <f aca="false">G308*H308</f>
        <v>7794</v>
      </c>
    </row>
    <row r="309" customFormat="false" ht="15" hidden="false" customHeight="false" outlineLevel="0" collapsed="false">
      <c r="A309" s="3" t="s">
        <v>185</v>
      </c>
      <c r="B309" s="3" t="s">
        <v>1171</v>
      </c>
      <c r="C309" s="3" t="s">
        <v>38</v>
      </c>
      <c r="D309" s="3" t="s">
        <v>32</v>
      </c>
      <c r="E309" s="3" t="s">
        <v>41</v>
      </c>
      <c r="F309" s="3" t="s">
        <v>24</v>
      </c>
      <c r="G309" s="3" t="n">
        <v>2</v>
      </c>
      <c r="H309" s="3" t="n">
        <v>1999</v>
      </c>
      <c r="I309" s="3" t="n">
        <f aca="false">G309*H309</f>
        <v>3998</v>
      </c>
    </row>
    <row r="310" customFormat="false" ht="15" hidden="false" customHeight="false" outlineLevel="0" collapsed="false">
      <c r="A310" s="3" t="s">
        <v>623</v>
      </c>
      <c r="B310" s="3" t="s">
        <v>1172</v>
      </c>
      <c r="C310" s="3" t="s">
        <v>27</v>
      </c>
      <c r="D310" s="3" t="s">
        <v>22</v>
      </c>
      <c r="E310" s="3" t="s">
        <v>23</v>
      </c>
      <c r="F310" s="3" t="s">
        <v>24</v>
      </c>
      <c r="G310" s="3" t="n">
        <v>8</v>
      </c>
      <c r="H310" s="3" t="n">
        <v>899</v>
      </c>
      <c r="I310" s="3" t="n">
        <f aca="false">G310*H310</f>
        <v>7192</v>
      </c>
    </row>
    <row r="311" customFormat="false" ht="15" hidden="false" customHeight="false" outlineLevel="0" collapsed="false">
      <c r="A311" s="3" t="s">
        <v>844</v>
      </c>
      <c r="B311" s="3" t="s">
        <v>1172</v>
      </c>
      <c r="C311" s="3" t="s">
        <v>27</v>
      </c>
      <c r="D311" s="3" t="s">
        <v>22</v>
      </c>
      <c r="E311" s="3" t="s">
        <v>13</v>
      </c>
      <c r="F311" s="3" t="s">
        <v>42</v>
      </c>
      <c r="G311" s="3" t="n">
        <v>12</v>
      </c>
      <c r="H311" s="3" t="n">
        <v>899</v>
      </c>
      <c r="I311" s="3" t="n">
        <f aca="false">G311*H311</f>
        <v>10788</v>
      </c>
    </row>
    <row r="312" customFormat="false" ht="15" hidden="false" customHeight="false" outlineLevel="0" collapsed="false">
      <c r="A312" s="3" t="s">
        <v>682</v>
      </c>
      <c r="B312" s="3" t="s">
        <v>1173</v>
      </c>
      <c r="C312" s="3" t="s">
        <v>105</v>
      </c>
      <c r="D312" s="3" t="s">
        <v>32</v>
      </c>
      <c r="E312" s="3" t="s">
        <v>56</v>
      </c>
      <c r="F312" s="3" t="s">
        <v>28</v>
      </c>
      <c r="G312" s="3" t="n">
        <v>11</v>
      </c>
      <c r="H312" s="3" t="n">
        <v>1799</v>
      </c>
      <c r="I312" s="3" t="n">
        <f aca="false">G312*H312</f>
        <v>19789</v>
      </c>
    </row>
    <row r="313" customFormat="false" ht="15" hidden="false" customHeight="false" outlineLevel="0" collapsed="false">
      <c r="A313" s="3" t="s">
        <v>897</v>
      </c>
      <c r="B313" s="3" t="s">
        <v>1174</v>
      </c>
      <c r="C313" s="3" t="s">
        <v>31</v>
      </c>
      <c r="D313" s="3" t="s">
        <v>32</v>
      </c>
      <c r="E313" s="3" t="s">
        <v>23</v>
      </c>
      <c r="F313" s="3" t="s">
        <v>28</v>
      </c>
      <c r="G313" s="3" t="n">
        <v>5</v>
      </c>
      <c r="H313" s="3" t="n">
        <v>1499</v>
      </c>
      <c r="I313" s="3" t="n">
        <f aca="false">G313*H313</f>
        <v>7495</v>
      </c>
    </row>
    <row r="314" customFormat="false" ht="15" hidden="false" customHeight="false" outlineLevel="0" collapsed="false">
      <c r="A314" s="3" t="s">
        <v>961</v>
      </c>
      <c r="B314" s="3" t="s">
        <v>1174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n">
        <v>7</v>
      </c>
      <c r="H314" s="3" t="n">
        <v>699</v>
      </c>
      <c r="I314" s="3" t="n">
        <f aca="false">G314*H314</f>
        <v>4893</v>
      </c>
    </row>
    <row r="315" customFormat="false" ht="15" hidden="false" customHeight="false" outlineLevel="0" collapsed="false">
      <c r="A315" s="3" t="s">
        <v>936</v>
      </c>
      <c r="B315" s="3" t="s">
        <v>1174</v>
      </c>
      <c r="C315" s="3" t="s">
        <v>45</v>
      </c>
      <c r="D315" s="3" t="s">
        <v>12</v>
      </c>
      <c r="E315" s="3" t="s">
        <v>56</v>
      </c>
      <c r="F315" s="3" t="s">
        <v>35</v>
      </c>
      <c r="G315" s="3" t="n">
        <v>13</v>
      </c>
      <c r="H315" s="3" t="n">
        <v>499</v>
      </c>
      <c r="I315" s="3" t="n">
        <f aca="false">G315*H315</f>
        <v>6487</v>
      </c>
    </row>
    <row r="316" customFormat="false" ht="15" hidden="false" customHeight="false" outlineLevel="0" collapsed="false">
      <c r="A316" s="3" t="s">
        <v>451</v>
      </c>
      <c r="B316" s="3" t="s">
        <v>1174</v>
      </c>
      <c r="C316" s="3" t="s">
        <v>38</v>
      </c>
      <c r="D316" s="3" t="s">
        <v>32</v>
      </c>
      <c r="E316" s="3" t="s">
        <v>41</v>
      </c>
      <c r="F316" s="3" t="s">
        <v>24</v>
      </c>
      <c r="G316" s="3" t="n">
        <v>6</v>
      </c>
      <c r="H316" s="3" t="n">
        <v>1999</v>
      </c>
      <c r="I316" s="3" t="n">
        <f aca="false">G316*H316</f>
        <v>11994</v>
      </c>
    </row>
    <row r="317" customFormat="false" ht="15" hidden="false" customHeight="false" outlineLevel="0" collapsed="false">
      <c r="A317" s="3" t="s">
        <v>470</v>
      </c>
      <c r="B317" s="3" t="s">
        <v>1174</v>
      </c>
      <c r="C317" s="3" t="s">
        <v>75</v>
      </c>
      <c r="D317" s="3" t="s">
        <v>32</v>
      </c>
      <c r="E317" s="3" t="s">
        <v>41</v>
      </c>
      <c r="F317" s="3" t="s">
        <v>18</v>
      </c>
      <c r="G317" s="3" t="n">
        <v>8</v>
      </c>
      <c r="H317" s="3" t="n">
        <v>8999</v>
      </c>
      <c r="I317" s="3" t="n">
        <f aca="false">G317*H317</f>
        <v>71992</v>
      </c>
    </row>
    <row r="318" customFormat="false" ht="15" hidden="false" customHeight="false" outlineLevel="0" collapsed="false">
      <c r="A318" s="3" t="s">
        <v>927</v>
      </c>
      <c r="B318" s="3" t="s">
        <v>1175</v>
      </c>
      <c r="C318" s="3" t="s">
        <v>31</v>
      </c>
      <c r="D318" s="3" t="s">
        <v>32</v>
      </c>
      <c r="E318" s="3" t="s">
        <v>56</v>
      </c>
      <c r="F318" s="3" t="s">
        <v>42</v>
      </c>
      <c r="G318" s="3" t="n">
        <v>11</v>
      </c>
      <c r="H318" s="3" t="n">
        <v>1499</v>
      </c>
      <c r="I318" s="3" t="n">
        <f aca="false">G318*H318</f>
        <v>16489</v>
      </c>
    </row>
    <row r="319" customFormat="false" ht="15" hidden="false" customHeight="false" outlineLevel="0" collapsed="false">
      <c r="A319" s="3" t="s">
        <v>710</v>
      </c>
      <c r="B319" s="3" t="s">
        <v>1175</v>
      </c>
      <c r="C319" s="3" t="s">
        <v>21</v>
      </c>
      <c r="D319" s="3" t="s">
        <v>22</v>
      </c>
      <c r="E319" s="3" t="s">
        <v>56</v>
      </c>
      <c r="F319" s="3" t="s">
        <v>35</v>
      </c>
      <c r="G319" s="3" t="n">
        <v>8</v>
      </c>
      <c r="H319" s="3" t="n">
        <v>699</v>
      </c>
      <c r="I319" s="3" t="n">
        <f aca="false">G319*H319</f>
        <v>5592</v>
      </c>
    </row>
    <row r="320" customFormat="false" ht="15" hidden="false" customHeight="false" outlineLevel="0" collapsed="false">
      <c r="A320" s="3" t="s">
        <v>758</v>
      </c>
      <c r="B320" s="3" t="s">
        <v>1176</v>
      </c>
      <c r="C320" s="3" t="s">
        <v>105</v>
      </c>
      <c r="D320" s="3" t="s">
        <v>32</v>
      </c>
      <c r="E320" s="3" t="s">
        <v>41</v>
      </c>
      <c r="F320" s="3" t="s">
        <v>42</v>
      </c>
      <c r="G320" s="3" t="n">
        <v>8</v>
      </c>
      <c r="H320" s="3" t="n">
        <v>1799</v>
      </c>
      <c r="I320" s="3" t="n">
        <f aca="false">G320*H320</f>
        <v>14392</v>
      </c>
    </row>
    <row r="321" customFormat="false" ht="15" hidden="false" customHeight="false" outlineLevel="0" collapsed="false">
      <c r="A321" s="3" t="s">
        <v>149</v>
      </c>
      <c r="B321" s="3" t="s">
        <v>1177</v>
      </c>
      <c r="C321" s="3" t="s">
        <v>27</v>
      </c>
      <c r="D321" s="3" t="s">
        <v>22</v>
      </c>
      <c r="E321" s="3" t="s">
        <v>13</v>
      </c>
      <c r="F321" s="3" t="s">
        <v>18</v>
      </c>
      <c r="G321" s="3" t="n">
        <v>2</v>
      </c>
      <c r="H321" s="3" t="n">
        <v>899</v>
      </c>
      <c r="I321" s="3" t="n">
        <f aca="false">G321*H321</f>
        <v>1798</v>
      </c>
    </row>
    <row r="322" customFormat="false" ht="15" hidden="false" customHeight="false" outlineLevel="0" collapsed="false">
      <c r="A322" s="3" t="s">
        <v>213</v>
      </c>
      <c r="B322" s="3" t="s">
        <v>1177</v>
      </c>
      <c r="C322" s="3" t="s">
        <v>16</v>
      </c>
      <c r="D322" s="3" t="s">
        <v>12</v>
      </c>
      <c r="E322" s="3" t="s">
        <v>41</v>
      </c>
      <c r="F322" s="3" t="s">
        <v>35</v>
      </c>
      <c r="G322" s="3" t="n">
        <v>4</v>
      </c>
      <c r="H322" s="3" t="n">
        <v>2499</v>
      </c>
      <c r="I322" s="3" t="n">
        <f aca="false">G322*H322</f>
        <v>9996</v>
      </c>
    </row>
    <row r="323" customFormat="false" ht="15" hidden="false" customHeight="false" outlineLevel="0" collapsed="false">
      <c r="A323" s="3" t="s">
        <v>983</v>
      </c>
      <c r="B323" s="3" t="s">
        <v>1177</v>
      </c>
      <c r="C323" s="3" t="s">
        <v>55</v>
      </c>
      <c r="D323" s="3" t="s">
        <v>12</v>
      </c>
      <c r="E323" s="3" t="s">
        <v>41</v>
      </c>
      <c r="F323" s="3" t="s">
        <v>35</v>
      </c>
      <c r="G323" s="3" t="n">
        <v>10</v>
      </c>
      <c r="H323" s="3" t="n">
        <v>299</v>
      </c>
      <c r="I323" s="3" t="n">
        <f aca="false">G323*H323</f>
        <v>2990</v>
      </c>
    </row>
    <row r="324" customFormat="false" ht="15" hidden="false" customHeight="false" outlineLevel="0" collapsed="false">
      <c r="A324" s="3" t="s">
        <v>963</v>
      </c>
      <c r="B324" s="3" t="s">
        <v>1177</v>
      </c>
      <c r="C324" s="3" t="s">
        <v>38</v>
      </c>
      <c r="D324" s="3" t="s">
        <v>32</v>
      </c>
      <c r="E324" s="3" t="s">
        <v>41</v>
      </c>
      <c r="F324" s="3" t="s">
        <v>42</v>
      </c>
      <c r="G324" s="3" t="n">
        <v>3</v>
      </c>
      <c r="H324" s="3" t="n">
        <v>1999</v>
      </c>
      <c r="I324" s="3" t="n">
        <f aca="false">G324*H324</f>
        <v>5997</v>
      </c>
    </row>
    <row r="325" customFormat="false" ht="15" hidden="false" customHeight="false" outlineLevel="0" collapsed="false">
      <c r="A325" s="3" t="s">
        <v>411</v>
      </c>
      <c r="B325" s="3" t="s">
        <v>1178</v>
      </c>
      <c r="C325" s="3" t="s">
        <v>16</v>
      </c>
      <c r="D325" s="3" t="s">
        <v>12</v>
      </c>
      <c r="E325" s="3" t="s">
        <v>56</v>
      </c>
      <c r="F325" s="3" t="s">
        <v>24</v>
      </c>
      <c r="G325" s="3" t="n">
        <v>9</v>
      </c>
      <c r="H325" s="3" t="n">
        <v>2499</v>
      </c>
      <c r="I325" s="3" t="n">
        <f aca="false">G325*H325</f>
        <v>22491</v>
      </c>
    </row>
    <row r="326" customFormat="false" ht="15" hidden="false" customHeight="false" outlineLevel="0" collapsed="false">
      <c r="A326" s="3" t="s">
        <v>147</v>
      </c>
      <c r="B326" s="3" t="s">
        <v>1179</v>
      </c>
      <c r="C326" s="3" t="s">
        <v>38</v>
      </c>
      <c r="D326" s="3" t="s">
        <v>32</v>
      </c>
      <c r="E326" s="3" t="s">
        <v>23</v>
      </c>
      <c r="F326" s="3" t="s">
        <v>24</v>
      </c>
      <c r="G326" s="3" t="n">
        <v>4</v>
      </c>
      <c r="H326" s="3" t="n">
        <v>1999</v>
      </c>
      <c r="I326" s="3" t="n">
        <f aca="false">G326*H326</f>
        <v>7996</v>
      </c>
    </row>
    <row r="327" customFormat="false" ht="15" hidden="false" customHeight="false" outlineLevel="0" collapsed="false">
      <c r="A327" s="3" t="s">
        <v>453</v>
      </c>
      <c r="B327" s="3" t="s">
        <v>1180</v>
      </c>
      <c r="C327" s="3" t="s">
        <v>105</v>
      </c>
      <c r="D327" s="3" t="s">
        <v>32</v>
      </c>
      <c r="E327" s="3" t="s">
        <v>41</v>
      </c>
      <c r="F327" s="3" t="s">
        <v>24</v>
      </c>
      <c r="G327" s="3" t="n">
        <v>4</v>
      </c>
      <c r="H327" s="3" t="n">
        <v>1799</v>
      </c>
      <c r="I327" s="3" t="n">
        <f aca="false">G327*H327</f>
        <v>7196</v>
      </c>
    </row>
    <row r="328" customFormat="false" ht="15" hidden="false" customHeight="false" outlineLevel="0" collapsed="false">
      <c r="A328" s="3" t="s">
        <v>526</v>
      </c>
      <c r="B328" s="3" t="s">
        <v>1180</v>
      </c>
      <c r="C328" s="3" t="s">
        <v>27</v>
      </c>
      <c r="D328" s="3" t="s">
        <v>22</v>
      </c>
      <c r="E328" s="3" t="s">
        <v>23</v>
      </c>
      <c r="F328" s="3" t="s">
        <v>42</v>
      </c>
      <c r="G328" s="3" t="n">
        <v>4</v>
      </c>
      <c r="H328" s="3" t="n">
        <v>899</v>
      </c>
      <c r="I328" s="3" t="n">
        <f aca="false">G328*H328</f>
        <v>3596</v>
      </c>
    </row>
    <row r="329" customFormat="false" ht="15" hidden="false" customHeight="false" outlineLevel="0" collapsed="false">
      <c r="A329" s="3" t="s">
        <v>965</v>
      </c>
      <c r="B329" s="3" t="s">
        <v>1181</v>
      </c>
      <c r="C329" s="3" t="s">
        <v>16</v>
      </c>
      <c r="D329" s="3" t="s">
        <v>12</v>
      </c>
      <c r="E329" s="3" t="s">
        <v>23</v>
      </c>
      <c r="F329" s="3" t="s">
        <v>42</v>
      </c>
      <c r="G329" s="3" t="n">
        <v>10</v>
      </c>
      <c r="H329" s="3" t="n">
        <v>2499</v>
      </c>
      <c r="I329" s="3" t="n">
        <f aca="false">G329*H329</f>
        <v>24990</v>
      </c>
    </row>
    <row r="330" customFormat="false" ht="15" hidden="false" customHeight="false" outlineLevel="0" collapsed="false">
      <c r="A330" s="3" t="s">
        <v>762</v>
      </c>
      <c r="B330" s="3" t="s">
        <v>1181</v>
      </c>
      <c r="C330" s="3" t="s">
        <v>45</v>
      </c>
      <c r="D330" s="3" t="s">
        <v>12</v>
      </c>
      <c r="E330" s="3" t="s">
        <v>13</v>
      </c>
      <c r="F330" s="3" t="s">
        <v>42</v>
      </c>
      <c r="G330" s="3" t="n">
        <v>8</v>
      </c>
      <c r="H330" s="3" t="n">
        <v>499</v>
      </c>
      <c r="I330" s="3" t="n">
        <f aca="false">G330*H330</f>
        <v>3992</v>
      </c>
    </row>
    <row r="331" customFormat="false" ht="15" hidden="false" customHeight="false" outlineLevel="0" collapsed="false">
      <c r="A331" s="3" t="s">
        <v>903</v>
      </c>
      <c r="B331" s="3" t="s">
        <v>1182</v>
      </c>
      <c r="C331" s="3" t="s">
        <v>105</v>
      </c>
      <c r="D331" s="3" t="s">
        <v>32</v>
      </c>
      <c r="E331" s="3" t="s">
        <v>23</v>
      </c>
      <c r="F331" s="3" t="s">
        <v>42</v>
      </c>
      <c r="G331" s="3" t="n">
        <v>12</v>
      </c>
      <c r="H331" s="3" t="n">
        <v>1799</v>
      </c>
      <c r="I331" s="3" t="n">
        <f aca="false">G331*H331</f>
        <v>21588</v>
      </c>
    </row>
    <row r="332" customFormat="false" ht="15" hidden="false" customHeight="false" outlineLevel="0" collapsed="false">
      <c r="A332" s="3" t="s">
        <v>67</v>
      </c>
      <c r="B332" s="3" t="s">
        <v>1183</v>
      </c>
      <c r="C332" s="3" t="s">
        <v>55</v>
      </c>
      <c r="D332" s="3" t="s">
        <v>12</v>
      </c>
      <c r="E332" s="3" t="s">
        <v>56</v>
      </c>
      <c r="F332" s="3" t="s">
        <v>35</v>
      </c>
      <c r="G332" s="3" t="n">
        <v>13</v>
      </c>
      <c r="H332" s="3" t="n">
        <v>299</v>
      </c>
      <c r="I332" s="3" t="n">
        <f aca="false">G332*H332</f>
        <v>3887</v>
      </c>
    </row>
    <row r="333" customFormat="false" ht="15" hidden="false" customHeight="false" outlineLevel="0" collapsed="false">
      <c r="A333" s="3" t="s">
        <v>460</v>
      </c>
      <c r="B333" s="3" t="s">
        <v>1184</v>
      </c>
      <c r="C333" s="3" t="s">
        <v>55</v>
      </c>
      <c r="D333" s="3" t="s">
        <v>12</v>
      </c>
      <c r="E333" s="3" t="s">
        <v>23</v>
      </c>
      <c r="F333" s="3" t="s">
        <v>24</v>
      </c>
      <c r="G333" s="3" t="n">
        <v>2</v>
      </c>
      <c r="H333" s="3" t="n">
        <v>299</v>
      </c>
      <c r="I333" s="3" t="n">
        <f aca="false">G333*H333</f>
        <v>598</v>
      </c>
    </row>
    <row r="334" customFormat="false" ht="15" hidden="false" customHeight="false" outlineLevel="0" collapsed="false">
      <c r="A334" s="3" t="s">
        <v>578</v>
      </c>
      <c r="B334" s="3" t="s">
        <v>1184</v>
      </c>
      <c r="C334" s="3" t="s">
        <v>45</v>
      </c>
      <c r="D334" s="3" t="s">
        <v>12</v>
      </c>
      <c r="E334" s="3" t="s">
        <v>13</v>
      </c>
      <c r="F334" s="3" t="s">
        <v>28</v>
      </c>
      <c r="G334" s="3" t="n">
        <v>9</v>
      </c>
      <c r="H334" s="3" t="n">
        <v>499</v>
      </c>
      <c r="I334" s="3" t="n">
        <f aca="false">G334*H334</f>
        <v>4491</v>
      </c>
    </row>
    <row r="335" customFormat="false" ht="15" hidden="false" customHeight="false" outlineLevel="0" collapsed="false">
      <c r="A335" s="3" t="s">
        <v>953</v>
      </c>
      <c r="B335" s="3" t="s">
        <v>1185</v>
      </c>
      <c r="C335" s="3" t="s">
        <v>16</v>
      </c>
      <c r="D335" s="3" t="s">
        <v>12</v>
      </c>
      <c r="E335" s="3" t="s">
        <v>41</v>
      </c>
      <c r="F335" s="3" t="s">
        <v>18</v>
      </c>
      <c r="G335" s="3" t="n">
        <v>8</v>
      </c>
      <c r="H335" s="3" t="n">
        <v>2499</v>
      </c>
      <c r="I335" s="3" t="n">
        <f aca="false">G335*H335</f>
        <v>19992</v>
      </c>
    </row>
    <row r="336" customFormat="false" ht="15" hidden="false" customHeight="false" outlineLevel="0" collapsed="false">
      <c r="A336" s="3" t="s">
        <v>850</v>
      </c>
      <c r="B336" s="3" t="s">
        <v>1186</v>
      </c>
      <c r="C336" s="3" t="s">
        <v>55</v>
      </c>
      <c r="D336" s="3" t="s">
        <v>12</v>
      </c>
      <c r="E336" s="3" t="s">
        <v>23</v>
      </c>
      <c r="F336" s="3" t="s">
        <v>24</v>
      </c>
      <c r="G336" s="3" t="n">
        <v>4</v>
      </c>
      <c r="H336" s="3" t="n">
        <v>299</v>
      </c>
      <c r="I336" s="3" t="n">
        <f aca="false">G336*H336</f>
        <v>1196</v>
      </c>
    </row>
    <row r="337" customFormat="false" ht="15" hidden="false" customHeight="false" outlineLevel="0" collapsed="false">
      <c r="A337" s="3" t="s">
        <v>726</v>
      </c>
      <c r="B337" s="3" t="s">
        <v>1186</v>
      </c>
      <c r="C337" s="3" t="s">
        <v>55</v>
      </c>
      <c r="D337" s="3" t="s">
        <v>12</v>
      </c>
      <c r="E337" s="3" t="s">
        <v>56</v>
      </c>
      <c r="F337" s="3" t="s">
        <v>35</v>
      </c>
      <c r="G337" s="3" t="n">
        <v>7</v>
      </c>
      <c r="H337" s="3" t="n">
        <v>299</v>
      </c>
      <c r="I337" s="3" t="n">
        <f aca="false">G337*H337</f>
        <v>2093</v>
      </c>
    </row>
    <row r="338" customFormat="false" ht="15" hidden="false" customHeight="false" outlineLevel="0" collapsed="false">
      <c r="A338" s="3" t="s">
        <v>401</v>
      </c>
      <c r="B338" s="3" t="s">
        <v>1186</v>
      </c>
      <c r="C338" s="3" t="s">
        <v>16</v>
      </c>
      <c r="D338" s="3" t="s">
        <v>12</v>
      </c>
      <c r="E338" s="3" t="s">
        <v>56</v>
      </c>
      <c r="F338" s="3" t="s">
        <v>42</v>
      </c>
      <c r="G338" s="3" t="n">
        <v>4</v>
      </c>
      <c r="H338" s="3" t="n">
        <v>2499</v>
      </c>
      <c r="I338" s="3" t="n">
        <f aca="false">G338*H338</f>
        <v>9996</v>
      </c>
    </row>
    <row r="339" customFormat="false" ht="15" hidden="false" customHeight="false" outlineLevel="0" collapsed="false">
      <c r="A339" s="3" t="s">
        <v>948</v>
      </c>
      <c r="B339" s="3" t="s">
        <v>1186</v>
      </c>
      <c r="C339" s="3" t="s">
        <v>105</v>
      </c>
      <c r="D339" s="3" t="s">
        <v>32</v>
      </c>
      <c r="E339" s="3" t="s">
        <v>23</v>
      </c>
      <c r="F339" s="3" t="s">
        <v>18</v>
      </c>
      <c r="G339" s="3" t="n">
        <v>12</v>
      </c>
      <c r="H339" s="3" t="n">
        <v>1799</v>
      </c>
      <c r="I339" s="3" t="n">
        <f aca="false">G339*H339</f>
        <v>21588</v>
      </c>
    </row>
    <row r="340" customFormat="false" ht="15" hidden="false" customHeight="false" outlineLevel="0" collapsed="false">
      <c r="A340" s="3" t="s">
        <v>425</v>
      </c>
      <c r="B340" s="3" t="s">
        <v>1187</v>
      </c>
      <c r="C340" s="3" t="s">
        <v>93</v>
      </c>
      <c r="D340" s="3" t="s">
        <v>12</v>
      </c>
      <c r="E340" s="3" t="s">
        <v>41</v>
      </c>
      <c r="F340" s="3" t="s">
        <v>42</v>
      </c>
      <c r="G340" s="3" t="n">
        <v>7</v>
      </c>
      <c r="H340" s="3" t="n">
        <v>1299</v>
      </c>
      <c r="I340" s="3" t="n">
        <f aca="false">G340*H340</f>
        <v>9093</v>
      </c>
    </row>
    <row r="341" customFormat="false" ht="15" hidden="false" customHeight="false" outlineLevel="0" collapsed="false">
      <c r="A341" s="3" t="s">
        <v>281</v>
      </c>
      <c r="B341" s="3" t="s">
        <v>1187</v>
      </c>
      <c r="C341" s="3" t="s">
        <v>55</v>
      </c>
      <c r="D341" s="3" t="s">
        <v>12</v>
      </c>
      <c r="E341" s="3" t="s">
        <v>13</v>
      </c>
      <c r="F341" s="3" t="s">
        <v>28</v>
      </c>
      <c r="G341" s="3" t="n">
        <v>1</v>
      </c>
      <c r="H341" s="3" t="n">
        <v>299</v>
      </c>
      <c r="I341" s="3" t="n">
        <f aca="false">G341*H341</f>
        <v>299</v>
      </c>
    </row>
    <row r="342" customFormat="false" ht="15" hidden="false" customHeight="false" outlineLevel="0" collapsed="false">
      <c r="A342" s="3" t="s">
        <v>512</v>
      </c>
      <c r="B342" s="3" t="s">
        <v>1187</v>
      </c>
      <c r="C342" s="3" t="s">
        <v>75</v>
      </c>
      <c r="D342" s="3" t="s">
        <v>32</v>
      </c>
      <c r="E342" s="3" t="s">
        <v>41</v>
      </c>
      <c r="F342" s="3" t="s">
        <v>35</v>
      </c>
      <c r="G342" s="3" t="n">
        <v>6</v>
      </c>
      <c r="H342" s="3" t="n">
        <v>8999</v>
      </c>
      <c r="I342" s="3" t="n">
        <f aca="false">G342*H342</f>
        <v>53994</v>
      </c>
    </row>
    <row r="343" customFormat="false" ht="15" hidden="false" customHeight="false" outlineLevel="0" collapsed="false">
      <c r="A343" s="3" t="s">
        <v>992</v>
      </c>
      <c r="B343" s="3" t="s">
        <v>1188</v>
      </c>
      <c r="C343" s="3" t="s">
        <v>38</v>
      </c>
      <c r="D343" s="3" t="s">
        <v>32</v>
      </c>
      <c r="E343" s="3" t="s">
        <v>23</v>
      </c>
      <c r="F343" s="3" t="s">
        <v>42</v>
      </c>
      <c r="G343" s="3" t="n">
        <v>14</v>
      </c>
      <c r="H343" s="3" t="n">
        <v>1999</v>
      </c>
      <c r="I343" s="3" t="n">
        <f aca="false">G343*H343</f>
        <v>27986</v>
      </c>
    </row>
    <row r="344" customFormat="false" ht="15" hidden="false" customHeight="false" outlineLevel="0" collapsed="false">
      <c r="A344" s="3" t="s">
        <v>654</v>
      </c>
      <c r="B344" s="3" t="s">
        <v>1188</v>
      </c>
      <c r="C344" s="3" t="s">
        <v>105</v>
      </c>
      <c r="D344" s="3" t="s">
        <v>32</v>
      </c>
      <c r="E344" s="3" t="s">
        <v>41</v>
      </c>
      <c r="F344" s="3" t="s">
        <v>18</v>
      </c>
      <c r="G344" s="3" t="n">
        <v>5</v>
      </c>
      <c r="H344" s="3" t="n">
        <v>1799</v>
      </c>
      <c r="I344" s="3" t="n">
        <f aca="false">G344*H344</f>
        <v>8995</v>
      </c>
    </row>
    <row r="345" customFormat="false" ht="15" hidden="false" customHeight="false" outlineLevel="0" collapsed="false">
      <c r="A345" s="3" t="s">
        <v>717</v>
      </c>
      <c r="B345" s="3" t="s">
        <v>1189</v>
      </c>
      <c r="C345" s="3" t="s">
        <v>75</v>
      </c>
      <c r="D345" s="3" t="s">
        <v>32</v>
      </c>
      <c r="E345" s="3" t="s">
        <v>56</v>
      </c>
      <c r="F345" s="3" t="s">
        <v>42</v>
      </c>
      <c r="G345" s="3" t="n">
        <v>3</v>
      </c>
      <c r="H345" s="3" t="n">
        <v>8999</v>
      </c>
      <c r="I345" s="3" t="n">
        <f aca="false">G345*H345</f>
        <v>26997</v>
      </c>
    </row>
    <row r="346" customFormat="false" ht="15" hidden="false" customHeight="false" outlineLevel="0" collapsed="false">
      <c r="A346" s="3" t="s">
        <v>722</v>
      </c>
      <c r="B346" s="3" t="s">
        <v>1190</v>
      </c>
      <c r="C346" s="3" t="s">
        <v>45</v>
      </c>
      <c r="D346" s="3" t="s">
        <v>12</v>
      </c>
      <c r="E346" s="3" t="s">
        <v>56</v>
      </c>
      <c r="F346" s="3" t="s">
        <v>24</v>
      </c>
      <c r="G346" s="3" t="n">
        <v>11</v>
      </c>
      <c r="H346" s="3" t="n">
        <v>499</v>
      </c>
      <c r="I346" s="3" t="n">
        <f aca="false">G346*H346</f>
        <v>5489</v>
      </c>
    </row>
    <row r="347" customFormat="false" ht="15" hidden="false" customHeight="false" outlineLevel="0" collapsed="false">
      <c r="A347" s="3" t="s">
        <v>984</v>
      </c>
      <c r="B347" s="3" t="s">
        <v>1191</v>
      </c>
      <c r="C347" s="3" t="s">
        <v>21</v>
      </c>
      <c r="D347" s="3" t="s">
        <v>22</v>
      </c>
      <c r="E347" s="3" t="s">
        <v>23</v>
      </c>
      <c r="F347" s="3" t="s">
        <v>42</v>
      </c>
      <c r="G347" s="3" t="n">
        <v>2</v>
      </c>
      <c r="H347" s="3" t="n">
        <v>699</v>
      </c>
      <c r="I347" s="3" t="n">
        <f aca="false">G347*H347</f>
        <v>1398</v>
      </c>
    </row>
    <row r="348" customFormat="false" ht="15" hidden="false" customHeight="false" outlineLevel="0" collapsed="false">
      <c r="A348" s="3" t="s">
        <v>678</v>
      </c>
      <c r="B348" s="3" t="s">
        <v>1191</v>
      </c>
      <c r="C348" s="3" t="s">
        <v>93</v>
      </c>
      <c r="D348" s="3" t="s">
        <v>12</v>
      </c>
      <c r="E348" s="3" t="s">
        <v>56</v>
      </c>
      <c r="F348" s="3" t="s">
        <v>42</v>
      </c>
      <c r="G348" s="3" t="n">
        <v>12</v>
      </c>
      <c r="H348" s="3" t="n">
        <v>1299</v>
      </c>
      <c r="I348" s="3" t="n">
        <f aca="false">G348*H348</f>
        <v>15588</v>
      </c>
    </row>
    <row r="349" customFormat="false" ht="15" hidden="false" customHeight="false" outlineLevel="0" collapsed="false">
      <c r="A349" s="3" t="s">
        <v>277</v>
      </c>
      <c r="B349" s="3" t="s">
        <v>1192</v>
      </c>
      <c r="C349" s="3" t="s">
        <v>21</v>
      </c>
      <c r="D349" s="3" t="s">
        <v>22</v>
      </c>
      <c r="E349" s="3" t="s">
        <v>41</v>
      </c>
      <c r="F349" s="3" t="s">
        <v>24</v>
      </c>
      <c r="G349" s="3" t="n">
        <v>12</v>
      </c>
      <c r="H349" s="3" t="n">
        <v>699</v>
      </c>
      <c r="I349" s="3" t="n">
        <f aca="false">G349*H349</f>
        <v>8388</v>
      </c>
    </row>
    <row r="350" customFormat="false" ht="15" hidden="false" customHeight="false" outlineLevel="0" collapsed="false">
      <c r="A350" s="3" t="s">
        <v>874</v>
      </c>
      <c r="B350" s="3" t="s">
        <v>1192</v>
      </c>
      <c r="C350" s="3" t="s">
        <v>45</v>
      </c>
      <c r="D350" s="3" t="s">
        <v>12</v>
      </c>
      <c r="E350" s="3" t="s">
        <v>23</v>
      </c>
      <c r="F350" s="3" t="s">
        <v>42</v>
      </c>
      <c r="G350" s="3" t="n">
        <v>3</v>
      </c>
      <c r="H350" s="3" t="n">
        <v>499</v>
      </c>
      <c r="I350" s="3" t="n">
        <f aca="false">G350*H350</f>
        <v>1497</v>
      </c>
    </row>
    <row r="351" customFormat="false" ht="15" hidden="false" customHeight="false" outlineLevel="0" collapsed="false">
      <c r="A351" s="3" t="s">
        <v>283</v>
      </c>
      <c r="B351" s="3" t="s">
        <v>1193</v>
      </c>
      <c r="C351" s="3" t="s">
        <v>38</v>
      </c>
      <c r="D351" s="3" t="s">
        <v>32</v>
      </c>
      <c r="E351" s="3" t="s">
        <v>23</v>
      </c>
      <c r="F351" s="3" t="s">
        <v>35</v>
      </c>
      <c r="G351" s="3" t="n">
        <v>8</v>
      </c>
      <c r="H351" s="3" t="n">
        <v>1999</v>
      </c>
      <c r="I351" s="3" t="n">
        <f aca="false">G351*H351</f>
        <v>15992</v>
      </c>
    </row>
    <row r="352" customFormat="false" ht="15" hidden="false" customHeight="false" outlineLevel="0" collapsed="false">
      <c r="A352" s="3" t="s">
        <v>71</v>
      </c>
      <c r="B352" s="3" t="s">
        <v>1193</v>
      </c>
      <c r="C352" s="3" t="s">
        <v>31</v>
      </c>
      <c r="D352" s="3" t="s">
        <v>32</v>
      </c>
      <c r="E352" s="3" t="s">
        <v>41</v>
      </c>
      <c r="F352" s="3" t="s">
        <v>24</v>
      </c>
      <c r="G352" s="3" t="n">
        <v>2</v>
      </c>
      <c r="H352" s="3" t="n">
        <v>1499</v>
      </c>
      <c r="I352" s="3" t="n">
        <f aca="false">G352*H352</f>
        <v>2998</v>
      </c>
    </row>
    <row r="353" customFormat="false" ht="15" hidden="false" customHeight="false" outlineLevel="0" collapsed="false">
      <c r="A353" s="3" t="s">
        <v>622</v>
      </c>
      <c r="B353" s="3" t="s">
        <v>1194</v>
      </c>
      <c r="C353" s="3" t="s">
        <v>31</v>
      </c>
      <c r="D353" s="3" t="s">
        <v>32</v>
      </c>
      <c r="E353" s="3" t="s">
        <v>23</v>
      </c>
      <c r="F353" s="3" t="s">
        <v>35</v>
      </c>
      <c r="G353" s="3" t="n">
        <v>12</v>
      </c>
      <c r="H353" s="3" t="n">
        <v>1499</v>
      </c>
      <c r="I353" s="3" t="n">
        <f aca="false">G353*H353</f>
        <v>17988</v>
      </c>
    </row>
    <row r="354" customFormat="false" ht="15" hidden="false" customHeight="false" outlineLevel="0" collapsed="false">
      <c r="A354" s="3" t="s">
        <v>767</v>
      </c>
      <c r="B354" s="3" t="s">
        <v>1194</v>
      </c>
      <c r="C354" s="3" t="s">
        <v>45</v>
      </c>
      <c r="D354" s="3" t="s">
        <v>12</v>
      </c>
      <c r="E354" s="3" t="s">
        <v>41</v>
      </c>
      <c r="F354" s="3" t="s">
        <v>18</v>
      </c>
      <c r="G354" s="3" t="n">
        <v>13</v>
      </c>
      <c r="H354" s="3" t="n">
        <v>499</v>
      </c>
      <c r="I354" s="3" t="n">
        <f aca="false">G354*H354</f>
        <v>6487</v>
      </c>
    </row>
    <row r="355" customFormat="false" ht="15" hidden="false" customHeight="false" outlineLevel="0" collapsed="false">
      <c r="A355" s="3" t="s">
        <v>604</v>
      </c>
      <c r="B355" s="3" t="s">
        <v>1194</v>
      </c>
      <c r="C355" s="3" t="s">
        <v>21</v>
      </c>
      <c r="D355" s="3" t="s">
        <v>22</v>
      </c>
      <c r="E355" s="3" t="s">
        <v>41</v>
      </c>
      <c r="F355" s="3" t="s">
        <v>35</v>
      </c>
      <c r="G355" s="3" t="n">
        <v>7</v>
      </c>
      <c r="H355" s="3" t="n">
        <v>699</v>
      </c>
      <c r="I355" s="3" t="n">
        <f aca="false">G355*H355</f>
        <v>4893</v>
      </c>
    </row>
    <row r="356" customFormat="false" ht="15" hidden="false" customHeight="false" outlineLevel="0" collapsed="false">
      <c r="A356" s="3" t="s">
        <v>481</v>
      </c>
      <c r="B356" s="3" t="s">
        <v>1195</v>
      </c>
      <c r="C356" s="3" t="s">
        <v>75</v>
      </c>
      <c r="D356" s="3" t="s">
        <v>32</v>
      </c>
      <c r="E356" s="3" t="s">
        <v>56</v>
      </c>
      <c r="F356" s="3" t="s">
        <v>1041</v>
      </c>
      <c r="G356" s="3" t="n">
        <v>8</v>
      </c>
      <c r="H356" s="3" t="n">
        <v>8999</v>
      </c>
      <c r="I356" s="3" t="n">
        <f aca="false">G356*H356</f>
        <v>71992</v>
      </c>
    </row>
    <row r="357" customFormat="false" ht="15" hidden="false" customHeight="false" outlineLevel="0" collapsed="false">
      <c r="A357" s="3" t="s">
        <v>423</v>
      </c>
      <c r="B357" s="3" t="s">
        <v>1195</v>
      </c>
      <c r="C357" s="3" t="s">
        <v>55</v>
      </c>
      <c r="D357" s="3" t="s">
        <v>12</v>
      </c>
      <c r="E357" s="3" t="s">
        <v>41</v>
      </c>
      <c r="F357" s="3" t="s">
        <v>18</v>
      </c>
      <c r="G357" s="3" t="n">
        <v>13</v>
      </c>
      <c r="H357" s="3" t="n">
        <v>299</v>
      </c>
      <c r="I357" s="3" t="n">
        <f aca="false">G357*H357</f>
        <v>3887</v>
      </c>
    </row>
    <row r="358" customFormat="false" ht="15" hidden="false" customHeight="false" outlineLevel="0" collapsed="false">
      <c r="A358" s="3" t="s">
        <v>972</v>
      </c>
      <c r="B358" s="3" t="s">
        <v>1196</v>
      </c>
      <c r="C358" s="3" t="s">
        <v>21</v>
      </c>
      <c r="D358" s="3" t="s">
        <v>22</v>
      </c>
      <c r="E358" s="3" t="s">
        <v>13</v>
      </c>
      <c r="F358" s="3" t="s">
        <v>42</v>
      </c>
      <c r="G358" s="3" t="n">
        <v>2</v>
      </c>
      <c r="H358" s="3" t="n">
        <v>699</v>
      </c>
      <c r="I358" s="3" t="n">
        <f aca="false">G358*H358</f>
        <v>1398</v>
      </c>
    </row>
    <row r="359" customFormat="false" ht="15" hidden="false" customHeight="false" outlineLevel="0" collapsed="false">
      <c r="A359" s="3" t="s">
        <v>431</v>
      </c>
      <c r="B359" s="3" t="s">
        <v>1197</v>
      </c>
      <c r="C359" s="3" t="s">
        <v>93</v>
      </c>
      <c r="D359" s="3" t="s">
        <v>12</v>
      </c>
      <c r="E359" s="3" t="s">
        <v>23</v>
      </c>
      <c r="F359" s="3" t="s">
        <v>24</v>
      </c>
      <c r="G359" s="3" t="n">
        <v>7</v>
      </c>
      <c r="H359" s="3" t="n">
        <v>1299</v>
      </c>
      <c r="I359" s="3" t="n">
        <f aca="false">G359*H359</f>
        <v>9093</v>
      </c>
    </row>
    <row r="360" customFormat="false" ht="15" hidden="false" customHeight="false" outlineLevel="0" collapsed="false">
      <c r="A360" s="3" t="s">
        <v>391</v>
      </c>
      <c r="B360" s="3" t="s">
        <v>1198</v>
      </c>
      <c r="C360" s="3" t="s">
        <v>75</v>
      </c>
      <c r="D360" s="3" t="s">
        <v>32</v>
      </c>
      <c r="E360" s="3" t="s">
        <v>23</v>
      </c>
      <c r="F360" s="3" t="s">
        <v>18</v>
      </c>
      <c r="G360" s="3" t="n">
        <v>6</v>
      </c>
      <c r="H360" s="3" t="n">
        <v>8999</v>
      </c>
      <c r="I360" s="3" t="n">
        <f aca="false">G360*H360</f>
        <v>53994</v>
      </c>
    </row>
    <row r="361" customFormat="false" ht="15" hidden="false" customHeight="false" outlineLevel="0" collapsed="false">
      <c r="A361" s="3" t="s">
        <v>852</v>
      </c>
      <c r="B361" s="3" t="s">
        <v>1199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n">
        <v>10</v>
      </c>
      <c r="H361" s="3" t="n">
        <v>699</v>
      </c>
      <c r="I361" s="3" t="n">
        <f aca="false">G361*H361</f>
        <v>6990</v>
      </c>
    </row>
    <row r="362" customFormat="false" ht="15" hidden="false" customHeight="false" outlineLevel="0" collapsed="false">
      <c r="A362" s="3" t="s">
        <v>367</v>
      </c>
      <c r="B362" s="3" t="s">
        <v>1199</v>
      </c>
      <c r="C362" s="3" t="s">
        <v>38</v>
      </c>
      <c r="D362" s="3" t="s">
        <v>32</v>
      </c>
      <c r="E362" s="3" t="s">
        <v>56</v>
      </c>
      <c r="F362" s="3" t="s">
        <v>18</v>
      </c>
      <c r="G362" s="3" t="n">
        <v>2</v>
      </c>
      <c r="H362" s="3" t="n">
        <v>1999</v>
      </c>
      <c r="I362" s="3" t="n">
        <f aca="false">G362*H362</f>
        <v>3998</v>
      </c>
    </row>
    <row r="363" customFormat="false" ht="15" hidden="false" customHeight="false" outlineLevel="0" collapsed="false">
      <c r="A363" s="3" t="s">
        <v>475</v>
      </c>
      <c r="B363" s="3" t="s">
        <v>1200</v>
      </c>
      <c r="C363" s="3" t="s">
        <v>105</v>
      </c>
      <c r="D363" s="3" t="s">
        <v>32</v>
      </c>
      <c r="E363" s="3" t="s">
        <v>13</v>
      </c>
      <c r="F363" s="3" t="s">
        <v>35</v>
      </c>
      <c r="G363" s="3" t="n">
        <v>3</v>
      </c>
      <c r="H363" s="3" t="n">
        <v>1799</v>
      </c>
      <c r="I363" s="3" t="n">
        <f aca="false">G363*H363</f>
        <v>5397</v>
      </c>
    </row>
    <row r="364" customFormat="false" ht="15" hidden="false" customHeight="false" outlineLevel="0" collapsed="false">
      <c r="A364" s="3" t="s">
        <v>616</v>
      </c>
      <c r="B364" s="3" t="s">
        <v>1200</v>
      </c>
      <c r="C364" s="3" t="s">
        <v>38</v>
      </c>
      <c r="D364" s="3" t="s">
        <v>32</v>
      </c>
      <c r="E364" s="3" t="s">
        <v>23</v>
      </c>
      <c r="F364" s="3" t="s">
        <v>18</v>
      </c>
      <c r="G364" s="3" t="n">
        <v>5</v>
      </c>
      <c r="H364" s="3" t="n">
        <v>1999</v>
      </c>
      <c r="I364" s="3" t="n">
        <f aca="false">G364*H364</f>
        <v>9995</v>
      </c>
    </row>
    <row r="365" customFormat="false" ht="15" hidden="false" customHeight="false" outlineLevel="0" collapsed="false">
      <c r="A365" s="3" t="s">
        <v>547</v>
      </c>
      <c r="B365" s="3" t="s">
        <v>1201</v>
      </c>
      <c r="C365" s="3" t="s">
        <v>75</v>
      </c>
      <c r="D365" s="3" t="s">
        <v>32</v>
      </c>
      <c r="E365" s="3" t="s">
        <v>41</v>
      </c>
      <c r="F365" s="3" t="s">
        <v>24</v>
      </c>
      <c r="G365" s="3" t="n">
        <v>14</v>
      </c>
      <c r="H365" s="3" t="n">
        <v>8999</v>
      </c>
      <c r="I365" s="3" t="n">
        <f aca="false">G365*H365</f>
        <v>125986</v>
      </c>
    </row>
    <row r="366" customFormat="false" ht="15" hidden="false" customHeight="false" outlineLevel="0" collapsed="false">
      <c r="A366" s="3" t="s">
        <v>364</v>
      </c>
      <c r="B366" s="3" t="s">
        <v>1202</v>
      </c>
      <c r="C366" s="3" t="s">
        <v>105</v>
      </c>
      <c r="D366" s="3" t="s">
        <v>32</v>
      </c>
      <c r="E366" s="3" t="s">
        <v>13</v>
      </c>
      <c r="F366" s="3" t="s">
        <v>42</v>
      </c>
      <c r="G366" s="3" t="n">
        <v>14</v>
      </c>
      <c r="H366" s="3" t="n">
        <v>1799</v>
      </c>
      <c r="I366" s="3" t="n">
        <f aca="false">G366*H366</f>
        <v>25186</v>
      </c>
    </row>
    <row r="367" customFormat="false" ht="15" hidden="false" customHeight="false" outlineLevel="0" collapsed="false">
      <c r="A367" s="3" t="s">
        <v>63</v>
      </c>
      <c r="B367" s="3" t="s">
        <v>1203</v>
      </c>
      <c r="C367" s="3" t="s">
        <v>16</v>
      </c>
      <c r="D367" s="3" t="s">
        <v>12</v>
      </c>
      <c r="E367" s="3" t="s">
        <v>23</v>
      </c>
      <c r="F367" s="3" t="s">
        <v>42</v>
      </c>
      <c r="G367" s="3" t="n">
        <v>13</v>
      </c>
      <c r="H367" s="3" t="n">
        <v>2499</v>
      </c>
      <c r="I367" s="3" t="n">
        <f aca="false">G367*H367</f>
        <v>32487</v>
      </c>
    </row>
    <row r="368" customFormat="false" ht="15" hidden="false" customHeight="false" outlineLevel="0" collapsed="false">
      <c r="A368" s="3" t="s">
        <v>422</v>
      </c>
      <c r="B368" s="3" t="s">
        <v>1203</v>
      </c>
      <c r="C368" s="3" t="s">
        <v>55</v>
      </c>
      <c r="D368" s="3" t="s">
        <v>12</v>
      </c>
      <c r="E368" s="3" t="s">
        <v>13</v>
      </c>
      <c r="F368" s="3" t="s">
        <v>24</v>
      </c>
      <c r="G368" s="3" t="n">
        <v>3</v>
      </c>
      <c r="H368" s="3" t="n">
        <v>299</v>
      </c>
      <c r="I368" s="3" t="n">
        <f aca="false">G368*H368</f>
        <v>897</v>
      </c>
    </row>
    <row r="369" customFormat="false" ht="15" hidden="false" customHeight="false" outlineLevel="0" collapsed="false">
      <c r="A369" s="3" t="s">
        <v>847</v>
      </c>
      <c r="B369" s="3" t="s">
        <v>1203</v>
      </c>
      <c r="C369" s="3" t="s">
        <v>38</v>
      </c>
      <c r="D369" s="3" t="s">
        <v>32</v>
      </c>
      <c r="E369" s="3" t="s">
        <v>23</v>
      </c>
      <c r="F369" s="3" t="s">
        <v>24</v>
      </c>
      <c r="G369" s="3" t="n">
        <v>9</v>
      </c>
      <c r="H369" s="3" t="n">
        <v>1999</v>
      </c>
      <c r="I369" s="3" t="n">
        <f aca="false">G369*H369</f>
        <v>17991</v>
      </c>
    </row>
    <row r="370" customFormat="false" ht="15" hidden="false" customHeight="false" outlineLevel="0" collapsed="false">
      <c r="A370" s="3" t="s">
        <v>802</v>
      </c>
      <c r="B370" s="3" t="s">
        <v>1204</v>
      </c>
      <c r="C370" s="3" t="s">
        <v>45</v>
      </c>
      <c r="D370" s="3" t="s">
        <v>12</v>
      </c>
      <c r="E370" s="3" t="s">
        <v>13</v>
      </c>
      <c r="F370" s="3" t="s">
        <v>28</v>
      </c>
      <c r="G370" s="3" t="n">
        <v>7</v>
      </c>
      <c r="H370" s="3" t="n">
        <v>499</v>
      </c>
      <c r="I370" s="3" t="n">
        <f aca="false">G370*H370</f>
        <v>3493</v>
      </c>
    </row>
    <row r="371" customFormat="false" ht="15" hidden="false" customHeight="false" outlineLevel="0" collapsed="false">
      <c r="A371" s="3" t="s">
        <v>420</v>
      </c>
      <c r="B371" s="3" t="s">
        <v>1205</v>
      </c>
      <c r="C371" s="3" t="s">
        <v>38</v>
      </c>
      <c r="D371" s="3" t="s">
        <v>32</v>
      </c>
      <c r="E371" s="3" t="s">
        <v>23</v>
      </c>
      <c r="F371" s="3" t="s">
        <v>24</v>
      </c>
      <c r="G371" s="3" t="n">
        <v>13</v>
      </c>
      <c r="H371" s="3" t="n">
        <v>1999</v>
      </c>
      <c r="I371" s="3" t="n">
        <f aca="false">G371*H371</f>
        <v>25987</v>
      </c>
    </row>
    <row r="372" customFormat="false" ht="15" hidden="false" customHeight="false" outlineLevel="0" collapsed="false">
      <c r="A372" s="3" t="s">
        <v>789</v>
      </c>
      <c r="B372" s="3" t="s">
        <v>1205</v>
      </c>
      <c r="C372" s="3" t="s">
        <v>93</v>
      </c>
      <c r="D372" s="3" t="s">
        <v>12</v>
      </c>
      <c r="E372" s="3" t="s">
        <v>23</v>
      </c>
      <c r="F372" s="3" t="s">
        <v>18</v>
      </c>
      <c r="G372" s="3" t="n">
        <v>12</v>
      </c>
      <c r="H372" s="3" t="n">
        <v>1299</v>
      </c>
      <c r="I372" s="3" t="n">
        <f aca="false">G372*H372</f>
        <v>15588</v>
      </c>
    </row>
    <row r="373" customFormat="false" ht="15" hidden="false" customHeight="false" outlineLevel="0" collapsed="false">
      <c r="A373" s="3" t="s">
        <v>1002</v>
      </c>
      <c r="B373" s="3" t="s">
        <v>1206</v>
      </c>
      <c r="C373" s="3" t="s">
        <v>45</v>
      </c>
      <c r="D373" s="3" t="s">
        <v>12</v>
      </c>
      <c r="E373" s="3" t="s">
        <v>41</v>
      </c>
      <c r="F373" s="3" t="s">
        <v>24</v>
      </c>
      <c r="G373" s="3" t="n">
        <v>1</v>
      </c>
      <c r="H373" s="3" t="n">
        <v>499</v>
      </c>
      <c r="I373" s="3" t="n">
        <f aca="false">G373*H373</f>
        <v>499</v>
      </c>
    </row>
    <row r="374" customFormat="false" ht="15" hidden="false" customHeight="false" outlineLevel="0" collapsed="false">
      <c r="A374" s="3" t="s">
        <v>267</v>
      </c>
      <c r="B374" s="3" t="s">
        <v>1206</v>
      </c>
      <c r="C374" s="3" t="s">
        <v>16</v>
      </c>
      <c r="D374" s="3" t="s">
        <v>12</v>
      </c>
      <c r="E374" s="3" t="s">
        <v>56</v>
      </c>
      <c r="F374" s="3" t="s">
        <v>28</v>
      </c>
      <c r="G374" s="3" t="n">
        <v>7</v>
      </c>
      <c r="H374" s="3" t="n">
        <v>2499</v>
      </c>
      <c r="I374" s="3" t="n">
        <f aca="false">G374*H374</f>
        <v>17493</v>
      </c>
    </row>
    <row r="375" customFormat="false" ht="15" hidden="false" customHeight="false" outlineLevel="0" collapsed="false">
      <c r="A375" s="3" t="s">
        <v>860</v>
      </c>
      <c r="B375" s="3" t="s">
        <v>1206</v>
      </c>
      <c r="C375" s="3" t="s">
        <v>16</v>
      </c>
      <c r="D375" s="3" t="s">
        <v>12</v>
      </c>
      <c r="E375" s="3" t="s">
        <v>23</v>
      </c>
      <c r="F375" s="3" t="s">
        <v>35</v>
      </c>
      <c r="G375" s="3" t="n">
        <v>3</v>
      </c>
      <c r="H375" s="3" t="n">
        <v>2499</v>
      </c>
      <c r="I375" s="3" t="n">
        <f aca="false">G375*H375</f>
        <v>7497</v>
      </c>
    </row>
    <row r="376" customFormat="false" ht="15" hidden="false" customHeight="false" outlineLevel="0" collapsed="false">
      <c r="A376" s="3" t="s">
        <v>978</v>
      </c>
      <c r="B376" s="3" t="s">
        <v>1207</v>
      </c>
      <c r="C376" s="3" t="s">
        <v>27</v>
      </c>
      <c r="D376" s="3" t="s">
        <v>22</v>
      </c>
      <c r="E376" s="3" t="s">
        <v>41</v>
      </c>
      <c r="F376" s="3" t="s">
        <v>42</v>
      </c>
      <c r="G376" s="3" t="n">
        <v>8</v>
      </c>
      <c r="H376" s="3" t="n">
        <v>899</v>
      </c>
      <c r="I376" s="3" t="n">
        <f aca="false">G376*H376</f>
        <v>7192</v>
      </c>
    </row>
    <row r="377" customFormat="false" ht="15" hidden="false" customHeight="false" outlineLevel="0" collapsed="false">
      <c r="A377" s="3" t="s">
        <v>889</v>
      </c>
      <c r="B377" s="3" t="s">
        <v>1207</v>
      </c>
      <c r="C377" s="3" t="s">
        <v>27</v>
      </c>
      <c r="D377" s="3" t="s">
        <v>22</v>
      </c>
      <c r="E377" s="3" t="s">
        <v>13</v>
      </c>
      <c r="F377" s="3" t="s">
        <v>18</v>
      </c>
      <c r="G377" s="3" t="n">
        <v>2</v>
      </c>
      <c r="H377" s="3" t="n">
        <v>899</v>
      </c>
      <c r="I377" s="3" t="n">
        <f aca="false">G377*H377</f>
        <v>1798</v>
      </c>
    </row>
    <row r="378" customFormat="false" ht="15" hidden="false" customHeight="false" outlineLevel="0" collapsed="false">
      <c r="A378" s="3" t="s">
        <v>581</v>
      </c>
      <c r="B378" s="3" t="s">
        <v>1208</v>
      </c>
      <c r="C378" s="3" t="s">
        <v>93</v>
      </c>
      <c r="D378" s="3" t="s">
        <v>12</v>
      </c>
      <c r="E378" s="3" t="s">
        <v>56</v>
      </c>
      <c r="F378" s="3" t="s">
        <v>35</v>
      </c>
      <c r="G378" s="3" t="n">
        <v>9</v>
      </c>
      <c r="H378" s="3" t="n">
        <v>1299</v>
      </c>
      <c r="I378" s="3" t="n">
        <f aca="false">G378*H378</f>
        <v>11691</v>
      </c>
    </row>
    <row r="379" customFormat="false" ht="15" hidden="false" customHeight="false" outlineLevel="0" collapsed="false">
      <c r="A379" s="3" t="s">
        <v>181</v>
      </c>
      <c r="B379" s="3" t="s">
        <v>1208</v>
      </c>
      <c r="C379" s="3" t="s">
        <v>45</v>
      </c>
      <c r="D379" s="3" t="s">
        <v>12</v>
      </c>
      <c r="E379" s="3" t="s">
        <v>13</v>
      </c>
      <c r="F379" s="3" t="s">
        <v>35</v>
      </c>
      <c r="G379" s="3" t="n">
        <v>11</v>
      </c>
      <c r="H379" s="3" t="n">
        <v>499</v>
      </c>
      <c r="I379" s="3" t="n">
        <f aca="false">G379*H379</f>
        <v>5489</v>
      </c>
    </row>
    <row r="380" customFormat="false" ht="15" hidden="false" customHeight="false" outlineLevel="0" collapsed="false">
      <c r="A380" s="3" t="s">
        <v>964</v>
      </c>
      <c r="B380" s="3" t="s">
        <v>1208</v>
      </c>
      <c r="C380" s="3" t="s">
        <v>38</v>
      </c>
      <c r="D380" s="3" t="s">
        <v>32</v>
      </c>
      <c r="E380" s="3" t="s">
        <v>13</v>
      </c>
      <c r="F380" s="3" t="s">
        <v>42</v>
      </c>
      <c r="G380" s="3" t="n">
        <v>14</v>
      </c>
      <c r="H380" s="3" t="n">
        <v>1999</v>
      </c>
      <c r="I380" s="3" t="n">
        <f aca="false">G380*H380</f>
        <v>27986</v>
      </c>
    </row>
    <row r="381" customFormat="false" ht="15" hidden="false" customHeight="false" outlineLevel="0" collapsed="false">
      <c r="A381" s="3" t="s">
        <v>570</v>
      </c>
      <c r="B381" s="3" t="s">
        <v>1208</v>
      </c>
      <c r="C381" s="3" t="s">
        <v>21</v>
      </c>
      <c r="D381" s="3" t="s">
        <v>22</v>
      </c>
      <c r="E381" s="3" t="s">
        <v>41</v>
      </c>
      <c r="F381" s="3" t="s">
        <v>18</v>
      </c>
      <c r="G381" s="3" t="n">
        <v>6</v>
      </c>
      <c r="H381" s="3" t="n">
        <v>699</v>
      </c>
      <c r="I381" s="3" t="n">
        <f aca="false">G381*H381</f>
        <v>4194</v>
      </c>
    </row>
    <row r="382" customFormat="false" ht="15" hidden="false" customHeight="false" outlineLevel="0" collapsed="false">
      <c r="A382" s="3" t="s">
        <v>753</v>
      </c>
      <c r="B382" s="3" t="s">
        <v>1209</v>
      </c>
      <c r="C382" s="3" t="s">
        <v>45</v>
      </c>
      <c r="D382" s="3" t="s">
        <v>12</v>
      </c>
      <c r="E382" s="3" t="s">
        <v>41</v>
      </c>
      <c r="F382" s="3" t="s">
        <v>28</v>
      </c>
      <c r="G382" s="3" t="n">
        <v>11</v>
      </c>
      <c r="H382" s="3" t="n">
        <v>499</v>
      </c>
      <c r="I382" s="3" t="n">
        <f aca="false">G382*H382</f>
        <v>5489</v>
      </c>
    </row>
    <row r="383" customFormat="false" ht="15" hidden="false" customHeight="false" outlineLevel="0" collapsed="false">
      <c r="A383" s="3" t="s">
        <v>76</v>
      </c>
      <c r="B383" s="3" t="s">
        <v>1210</v>
      </c>
      <c r="C383" s="3" t="s">
        <v>27</v>
      </c>
      <c r="D383" s="3" t="s">
        <v>22</v>
      </c>
      <c r="E383" s="3" t="s">
        <v>13</v>
      </c>
      <c r="F383" s="3" t="s">
        <v>35</v>
      </c>
      <c r="G383" s="3" t="n">
        <v>14</v>
      </c>
      <c r="H383" s="3" t="n">
        <v>899</v>
      </c>
      <c r="I383" s="3" t="n">
        <f aca="false">G383*H383</f>
        <v>12586</v>
      </c>
    </row>
    <row r="384" customFormat="false" ht="15" hidden="false" customHeight="false" outlineLevel="0" collapsed="false">
      <c r="A384" s="3" t="s">
        <v>46</v>
      </c>
      <c r="B384" s="3" t="s">
        <v>1211</v>
      </c>
      <c r="C384" s="3" t="s">
        <v>45</v>
      </c>
      <c r="D384" s="3" t="s">
        <v>12</v>
      </c>
      <c r="E384" s="3" t="s">
        <v>13</v>
      </c>
      <c r="F384" s="3" t="s">
        <v>18</v>
      </c>
      <c r="G384" s="3" t="n">
        <v>11</v>
      </c>
      <c r="H384" s="3" t="n">
        <v>499</v>
      </c>
      <c r="I384" s="3" t="n">
        <f aca="false">G384*H384</f>
        <v>5489</v>
      </c>
    </row>
    <row r="385" customFormat="false" ht="15" hidden="false" customHeight="false" outlineLevel="0" collapsed="false">
      <c r="A385" s="3" t="s">
        <v>719</v>
      </c>
      <c r="B385" s="3" t="s">
        <v>1211</v>
      </c>
      <c r="C385" s="3" t="s">
        <v>16</v>
      </c>
      <c r="D385" s="3" t="s">
        <v>12</v>
      </c>
      <c r="E385" s="3" t="s">
        <v>13</v>
      </c>
      <c r="F385" s="3" t="s">
        <v>18</v>
      </c>
      <c r="G385" s="3" t="n">
        <v>14</v>
      </c>
      <c r="H385" s="3" t="n">
        <v>2499</v>
      </c>
      <c r="I385" s="3" t="n">
        <f aca="false">G385*H385</f>
        <v>34986</v>
      </c>
    </row>
    <row r="386" customFormat="false" ht="15" hidden="false" customHeight="false" outlineLevel="0" collapsed="false">
      <c r="A386" s="3" t="s">
        <v>591</v>
      </c>
      <c r="B386" s="3" t="s">
        <v>1211</v>
      </c>
      <c r="C386" s="3" t="s">
        <v>16</v>
      </c>
      <c r="D386" s="3" t="s">
        <v>12</v>
      </c>
      <c r="E386" s="3" t="s">
        <v>23</v>
      </c>
      <c r="F386" s="3" t="s">
        <v>35</v>
      </c>
      <c r="G386" s="3" t="n">
        <v>1</v>
      </c>
      <c r="H386" s="3" t="n">
        <v>2499</v>
      </c>
      <c r="I386" s="3" t="n">
        <f aca="false">G386*H386</f>
        <v>2499</v>
      </c>
    </row>
    <row r="387" customFormat="false" ht="15" hidden="false" customHeight="false" outlineLevel="0" collapsed="false">
      <c r="A387" s="3" t="s">
        <v>137</v>
      </c>
      <c r="B387" s="3" t="s">
        <v>1211</v>
      </c>
      <c r="C387" s="3" t="s">
        <v>75</v>
      </c>
      <c r="D387" s="3" t="s">
        <v>32</v>
      </c>
      <c r="E387" s="3" t="s">
        <v>56</v>
      </c>
      <c r="F387" s="3" t="s">
        <v>24</v>
      </c>
      <c r="G387" s="3" t="n">
        <v>12</v>
      </c>
      <c r="H387" s="3" t="n">
        <v>8999</v>
      </c>
      <c r="I387" s="3" t="n">
        <f aca="false">G387*H387</f>
        <v>107988</v>
      </c>
    </row>
    <row r="388" customFormat="false" ht="15" hidden="false" customHeight="false" outlineLevel="0" collapsed="false">
      <c r="A388" s="3" t="s">
        <v>875</v>
      </c>
      <c r="B388" s="3" t="s">
        <v>1211</v>
      </c>
      <c r="C388" s="3" t="s">
        <v>38</v>
      </c>
      <c r="D388" s="3" t="s">
        <v>32</v>
      </c>
      <c r="E388" s="3" t="s">
        <v>41</v>
      </c>
      <c r="F388" s="3" t="s">
        <v>28</v>
      </c>
      <c r="G388" s="3" t="n">
        <v>11</v>
      </c>
      <c r="H388" s="3" t="n">
        <v>1999</v>
      </c>
      <c r="I388" s="3" t="n">
        <f aca="false">G388*H388</f>
        <v>21989</v>
      </c>
    </row>
    <row r="389" customFormat="false" ht="15" hidden="false" customHeight="false" outlineLevel="0" collapsed="false">
      <c r="A389" s="3" t="s">
        <v>957</v>
      </c>
      <c r="B389" s="3" t="s">
        <v>1212</v>
      </c>
      <c r="C389" s="3" t="s">
        <v>27</v>
      </c>
      <c r="D389" s="3" t="s">
        <v>22</v>
      </c>
      <c r="E389" s="3" t="s">
        <v>13</v>
      </c>
      <c r="F389" s="3" t="s">
        <v>35</v>
      </c>
      <c r="G389" s="3" t="n">
        <v>4</v>
      </c>
      <c r="H389" s="3" t="n">
        <v>899</v>
      </c>
      <c r="I389" s="3" t="n">
        <f aca="false">G389*H389</f>
        <v>3596</v>
      </c>
    </row>
    <row r="390" customFormat="false" ht="15" hidden="false" customHeight="false" outlineLevel="0" collapsed="false">
      <c r="A390" s="3" t="s">
        <v>950</v>
      </c>
      <c r="B390" s="3" t="s">
        <v>1212</v>
      </c>
      <c r="C390" s="3" t="s">
        <v>55</v>
      </c>
      <c r="D390" s="3" t="s">
        <v>12</v>
      </c>
      <c r="E390" s="3" t="s">
        <v>56</v>
      </c>
      <c r="F390" s="3" t="s">
        <v>24</v>
      </c>
      <c r="G390" s="3" t="n">
        <v>6</v>
      </c>
      <c r="H390" s="3" t="n">
        <v>299</v>
      </c>
      <c r="I390" s="3" t="n">
        <f aca="false">G390*H390</f>
        <v>1794</v>
      </c>
    </row>
    <row r="391" customFormat="false" ht="15" hidden="false" customHeight="false" outlineLevel="0" collapsed="false">
      <c r="A391" s="3" t="s">
        <v>746</v>
      </c>
      <c r="B391" s="3" t="s">
        <v>1212</v>
      </c>
      <c r="C391" s="3" t="s">
        <v>93</v>
      </c>
      <c r="D391" s="3" t="s">
        <v>12</v>
      </c>
      <c r="E391" s="3" t="s">
        <v>23</v>
      </c>
      <c r="F391" s="3" t="s">
        <v>1041</v>
      </c>
      <c r="G391" s="3" t="n">
        <v>5</v>
      </c>
      <c r="H391" s="3" t="n">
        <v>1299</v>
      </c>
      <c r="I391" s="3" t="n">
        <f aca="false">G391*H391</f>
        <v>6495</v>
      </c>
    </row>
    <row r="392" customFormat="false" ht="15" hidden="false" customHeight="false" outlineLevel="0" collapsed="false">
      <c r="A392" s="3" t="s">
        <v>225</v>
      </c>
      <c r="B392" s="3" t="s">
        <v>1213</v>
      </c>
      <c r="C392" s="3" t="s">
        <v>16</v>
      </c>
      <c r="D392" s="3" t="s">
        <v>12</v>
      </c>
      <c r="E392" s="3" t="s">
        <v>41</v>
      </c>
      <c r="F392" s="3" t="s">
        <v>35</v>
      </c>
      <c r="G392" s="3" t="n">
        <v>6</v>
      </c>
      <c r="H392" s="3" t="n">
        <v>2499</v>
      </c>
      <c r="I392" s="3" t="n">
        <f aca="false">G392*H392</f>
        <v>14994</v>
      </c>
    </row>
    <row r="393" customFormat="false" ht="15" hidden="false" customHeight="false" outlineLevel="0" collapsed="false">
      <c r="A393" s="3" t="s">
        <v>636</v>
      </c>
      <c r="B393" s="3" t="s">
        <v>1213</v>
      </c>
      <c r="C393" s="3" t="s">
        <v>55</v>
      </c>
      <c r="D393" s="3" t="s">
        <v>12</v>
      </c>
      <c r="E393" s="3" t="s">
        <v>56</v>
      </c>
      <c r="F393" s="3" t="s">
        <v>28</v>
      </c>
      <c r="G393" s="3" t="n">
        <v>10</v>
      </c>
      <c r="H393" s="3" t="n">
        <v>299</v>
      </c>
      <c r="I393" s="3" t="n">
        <f aca="false">G393*H393</f>
        <v>2990</v>
      </c>
    </row>
    <row r="394" customFormat="false" ht="15" hidden="false" customHeight="false" outlineLevel="0" collapsed="false">
      <c r="A394" s="3" t="s">
        <v>375</v>
      </c>
      <c r="B394" s="3" t="s">
        <v>1214</v>
      </c>
      <c r="C394" s="3" t="s">
        <v>105</v>
      </c>
      <c r="D394" s="3" t="s">
        <v>32</v>
      </c>
      <c r="E394" s="3" t="s">
        <v>41</v>
      </c>
      <c r="F394" s="3" t="s">
        <v>42</v>
      </c>
      <c r="G394" s="3" t="n">
        <v>11</v>
      </c>
      <c r="H394" s="3" t="n">
        <v>1799</v>
      </c>
      <c r="I394" s="3" t="n">
        <f aca="false">G394*H394</f>
        <v>19789</v>
      </c>
    </row>
    <row r="395" customFormat="false" ht="15" hidden="false" customHeight="false" outlineLevel="0" collapsed="false">
      <c r="A395" s="3" t="s">
        <v>818</v>
      </c>
      <c r="B395" s="3" t="s">
        <v>1214</v>
      </c>
      <c r="C395" s="3" t="s">
        <v>55</v>
      </c>
      <c r="D395" s="3" t="s">
        <v>12</v>
      </c>
      <c r="E395" s="3" t="s">
        <v>13</v>
      </c>
      <c r="F395" s="3" t="s">
        <v>35</v>
      </c>
      <c r="G395" s="3" t="n">
        <v>4</v>
      </c>
      <c r="H395" s="3" t="n">
        <v>299</v>
      </c>
      <c r="I395" s="3" t="n">
        <f aca="false">G395*H395</f>
        <v>1196</v>
      </c>
    </row>
    <row r="396" customFormat="false" ht="15" hidden="false" customHeight="false" outlineLevel="0" collapsed="false">
      <c r="A396" s="3" t="s">
        <v>913</v>
      </c>
      <c r="B396" s="3" t="s">
        <v>1215</v>
      </c>
      <c r="C396" s="3" t="s">
        <v>27</v>
      </c>
      <c r="D396" s="3" t="s">
        <v>22</v>
      </c>
      <c r="E396" s="3" t="s">
        <v>56</v>
      </c>
      <c r="F396" s="3" t="s">
        <v>35</v>
      </c>
      <c r="G396" s="3" t="n">
        <v>11</v>
      </c>
      <c r="H396" s="3" t="n">
        <v>899</v>
      </c>
      <c r="I396" s="3" t="n">
        <f aca="false">G396*H396</f>
        <v>9889</v>
      </c>
    </row>
    <row r="397" customFormat="false" ht="15" hidden="false" customHeight="false" outlineLevel="0" collapsed="false">
      <c r="A397" s="3" t="s">
        <v>979</v>
      </c>
      <c r="B397" s="3" t="s">
        <v>1216</v>
      </c>
      <c r="C397" s="3" t="s">
        <v>38</v>
      </c>
      <c r="D397" s="3" t="s">
        <v>32</v>
      </c>
      <c r="E397" s="3" t="s">
        <v>13</v>
      </c>
      <c r="F397" s="3" t="s">
        <v>42</v>
      </c>
      <c r="G397" s="3" t="n">
        <v>14</v>
      </c>
      <c r="H397" s="3" t="n">
        <v>1999</v>
      </c>
      <c r="I397" s="3" t="n">
        <f aca="false">G397*H397</f>
        <v>27986</v>
      </c>
    </row>
    <row r="398" customFormat="false" ht="15" hidden="false" customHeight="false" outlineLevel="0" collapsed="false">
      <c r="A398" s="3" t="s">
        <v>873</v>
      </c>
      <c r="B398" s="3" t="s">
        <v>1216</v>
      </c>
      <c r="C398" s="3" t="s">
        <v>31</v>
      </c>
      <c r="D398" s="3" t="s">
        <v>32</v>
      </c>
      <c r="E398" s="3" t="s">
        <v>23</v>
      </c>
      <c r="F398" s="3" t="s">
        <v>18</v>
      </c>
      <c r="G398" s="3" t="n">
        <v>10</v>
      </c>
      <c r="H398" s="3" t="n">
        <v>1499</v>
      </c>
      <c r="I398" s="3" t="n">
        <f aca="false">G398*H398</f>
        <v>14990</v>
      </c>
    </row>
    <row r="399" customFormat="false" ht="15" hidden="false" customHeight="false" outlineLevel="0" collapsed="false">
      <c r="A399" s="3" t="s">
        <v>59</v>
      </c>
      <c r="B399" s="3" t="s">
        <v>1216</v>
      </c>
      <c r="C399" s="3" t="s">
        <v>21</v>
      </c>
      <c r="D399" s="3" t="s">
        <v>22</v>
      </c>
      <c r="E399" s="3" t="s">
        <v>23</v>
      </c>
      <c r="F399" s="3" t="s">
        <v>42</v>
      </c>
      <c r="G399" s="3" t="n">
        <v>11</v>
      </c>
      <c r="H399" s="3" t="n">
        <v>699</v>
      </c>
      <c r="I399" s="3" t="n">
        <f aca="false">G399*H399</f>
        <v>7689</v>
      </c>
    </row>
    <row r="400" customFormat="false" ht="15" hidden="false" customHeight="false" outlineLevel="0" collapsed="false">
      <c r="A400" s="3" t="s">
        <v>400</v>
      </c>
      <c r="B400" s="3" t="s">
        <v>1216</v>
      </c>
      <c r="C400" s="3" t="s">
        <v>75</v>
      </c>
      <c r="D400" s="3" t="s">
        <v>32</v>
      </c>
      <c r="E400" s="3" t="s">
        <v>13</v>
      </c>
      <c r="F400" s="3" t="s">
        <v>24</v>
      </c>
      <c r="G400" s="3" t="n">
        <v>11</v>
      </c>
      <c r="H400" s="3" t="n">
        <v>8999</v>
      </c>
      <c r="I400" s="3" t="n">
        <f aca="false">G400*H400</f>
        <v>98989</v>
      </c>
    </row>
    <row r="401" customFormat="false" ht="15" hidden="false" customHeight="false" outlineLevel="0" collapsed="false">
      <c r="A401" s="3" t="s">
        <v>810</v>
      </c>
      <c r="B401" s="3" t="s">
        <v>1217</v>
      </c>
      <c r="C401" s="3" t="s">
        <v>75</v>
      </c>
      <c r="D401" s="3" t="s">
        <v>32</v>
      </c>
      <c r="E401" s="3" t="s">
        <v>56</v>
      </c>
      <c r="F401" s="3" t="s">
        <v>35</v>
      </c>
      <c r="G401" s="3" t="n">
        <v>3</v>
      </c>
      <c r="H401" s="3" t="n">
        <v>8999</v>
      </c>
      <c r="I401" s="3" t="n">
        <f aca="false">G401*H401</f>
        <v>26997</v>
      </c>
    </row>
    <row r="402" customFormat="false" ht="15" hidden="false" customHeight="false" outlineLevel="0" collapsed="false">
      <c r="A402" s="3" t="s">
        <v>177</v>
      </c>
      <c r="B402" s="3" t="s">
        <v>1218</v>
      </c>
      <c r="C402" s="3" t="s">
        <v>105</v>
      </c>
      <c r="D402" s="3" t="s">
        <v>32</v>
      </c>
      <c r="E402" s="3" t="s">
        <v>56</v>
      </c>
      <c r="F402" s="3" t="s">
        <v>24</v>
      </c>
      <c r="G402" s="3" t="n">
        <v>2</v>
      </c>
      <c r="H402" s="3" t="n">
        <v>1799</v>
      </c>
      <c r="I402" s="3" t="n">
        <f aca="false">G402*H402</f>
        <v>3598</v>
      </c>
    </row>
    <row r="403" customFormat="false" ht="15" hidden="false" customHeight="false" outlineLevel="0" collapsed="false">
      <c r="A403" s="3" t="s">
        <v>187</v>
      </c>
      <c r="B403" s="3" t="s">
        <v>1219</v>
      </c>
      <c r="C403" s="3" t="s">
        <v>16</v>
      </c>
      <c r="D403" s="3" t="s">
        <v>12</v>
      </c>
      <c r="E403" s="3" t="s">
        <v>41</v>
      </c>
      <c r="F403" s="3" t="s">
        <v>24</v>
      </c>
      <c r="G403" s="3" t="n">
        <v>5</v>
      </c>
      <c r="H403" s="3" t="n">
        <v>2499</v>
      </c>
      <c r="I403" s="3" t="n">
        <f aca="false">G403*H403</f>
        <v>12495</v>
      </c>
    </row>
    <row r="404" customFormat="false" ht="15" hidden="false" customHeight="false" outlineLevel="0" collapsed="false">
      <c r="A404" s="3" t="s">
        <v>582</v>
      </c>
      <c r="B404" s="3" t="s">
        <v>1219</v>
      </c>
      <c r="C404" s="3" t="s">
        <v>38</v>
      </c>
      <c r="D404" s="3" t="s">
        <v>32</v>
      </c>
      <c r="E404" s="3" t="s">
        <v>13</v>
      </c>
      <c r="F404" s="3" t="s">
        <v>42</v>
      </c>
      <c r="G404" s="3" t="n">
        <v>2</v>
      </c>
      <c r="H404" s="3" t="n">
        <v>1999</v>
      </c>
      <c r="I404" s="3" t="n">
        <f aca="false">G404*H404</f>
        <v>3998</v>
      </c>
    </row>
    <row r="405" customFormat="false" ht="15" hidden="false" customHeight="false" outlineLevel="0" collapsed="false">
      <c r="A405" s="3" t="s">
        <v>543</v>
      </c>
      <c r="B405" s="3" t="s">
        <v>1220</v>
      </c>
      <c r="C405" s="3" t="s">
        <v>105</v>
      </c>
      <c r="D405" s="3" t="s">
        <v>32</v>
      </c>
      <c r="E405" s="3" t="s">
        <v>56</v>
      </c>
      <c r="F405" s="3" t="s">
        <v>18</v>
      </c>
      <c r="G405" s="3" t="n">
        <v>12</v>
      </c>
      <c r="H405" s="3" t="n">
        <v>1799</v>
      </c>
      <c r="I405" s="3" t="n">
        <f aca="false">G405*H405</f>
        <v>21588</v>
      </c>
    </row>
    <row r="406" customFormat="false" ht="15" hidden="false" customHeight="false" outlineLevel="0" collapsed="false">
      <c r="A406" s="3" t="s">
        <v>794</v>
      </c>
      <c r="B406" s="3" t="s">
        <v>1220</v>
      </c>
      <c r="C406" s="3" t="s">
        <v>75</v>
      </c>
      <c r="D406" s="3" t="s">
        <v>32</v>
      </c>
      <c r="E406" s="3" t="s">
        <v>23</v>
      </c>
      <c r="F406" s="3" t="s">
        <v>35</v>
      </c>
      <c r="G406" s="3" t="n">
        <v>9</v>
      </c>
      <c r="H406" s="3" t="n">
        <v>8999</v>
      </c>
      <c r="I406" s="3" t="n">
        <f aca="false">G406*H406</f>
        <v>80991</v>
      </c>
    </row>
    <row r="407" customFormat="false" ht="15" hidden="false" customHeight="false" outlineLevel="0" collapsed="false">
      <c r="A407" s="3" t="s">
        <v>589</v>
      </c>
      <c r="B407" s="3" t="s">
        <v>1221</v>
      </c>
      <c r="C407" s="3" t="s">
        <v>93</v>
      </c>
      <c r="D407" s="3" t="s">
        <v>12</v>
      </c>
      <c r="E407" s="3" t="s">
        <v>13</v>
      </c>
      <c r="F407" s="3" t="s">
        <v>18</v>
      </c>
      <c r="G407" s="3" t="n">
        <v>1</v>
      </c>
      <c r="H407" s="3" t="n">
        <v>1299</v>
      </c>
      <c r="I407" s="3" t="n">
        <f aca="false">G407*H407</f>
        <v>1299</v>
      </c>
    </row>
    <row r="408" customFormat="false" ht="15" hidden="false" customHeight="false" outlineLevel="0" collapsed="false">
      <c r="A408" s="3" t="s">
        <v>314</v>
      </c>
      <c r="B408" s="3" t="s">
        <v>1222</v>
      </c>
      <c r="C408" s="3" t="s">
        <v>45</v>
      </c>
      <c r="D408" s="3" t="s">
        <v>12</v>
      </c>
      <c r="E408" s="3" t="s">
        <v>56</v>
      </c>
      <c r="F408" s="3" t="s">
        <v>18</v>
      </c>
      <c r="G408" s="3" t="n">
        <v>10</v>
      </c>
      <c r="H408" s="3" t="n">
        <v>499</v>
      </c>
      <c r="I408" s="3" t="n">
        <f aca="false">G408*H408</f>
        <v>4990</v>
      </c>
    </row>
    <row r="409" customFormat="false" ht="15" hidden="false" customHeight="false" outlineLevel="0" collapsed="false">
      <c r="A409" s="3" t="s">
        <v>652</v>
      </c>
      <c r="B409" s="3" t="s">
        <v>1223</v>
      </c>
      <c r="C409" s="3" t="s">
        <v>27</v>
      </c>
      <c r="D409" s="3" t="s">
        <v>22</v>
      </c>
      <c r="E409" s="3" t="s">
        <v>56</v>
      </c>
      <c r="F409" s="3" t="s">
        <v>35</v>
      </c>
      <c r="G409" s="3" t="n">
        <v>10</v>
      </c>
      <c r="H409" s="3" t="n">
        <v>899</v>
      </c>
      <c r="I409" s="3" t="n">
        <f aca="false">G409*H409</f>
        <v>8990</v>
      </c>
    </row>
    <row r="410" customFormat="false" ht="15" hidden="false" customHeight="false" outlineLevel="0" collapsed="false">
      <c r="A410" s="3" t="s">
        <v>766</v>
      </c>
      <c r="B410" s="3" t="s">
        <v>1224</v>
      </c>
      <c r="C410" s="3" t="s">
        <v>31</v>
      </c>
      <c r="D410" s="3" t="s">
        <v>32</v>
      </c>
      <c r="E410" s="3" t="s">
        <v>41</v>
      </c>
      <c r="F410" s="3" t="s">
        <v>35</v>
      </c>
      <c r="G410" s="3" t="n">
        <v>1</v>
      </c>
      <c r="H410" s="3" t="n">
        <v>1499</v>
      </c>
      <c r="I410" s="3" t="n">
        <f aca="false">G410*H410</f>
        <v>1499</v>
      </c>
    </row>
    <row r="411" customFormat="false" ht="15" hidden="false" customHeight="false" outlineLevel="0" collapsed="false">
      <c r="A411" s="3" t="s">
        <v>418</v>
      </c>
      <c r="B411" s="3" t="s">
        <v>1224</v>
      </c>
      <c r="C411" s="3" t="s">
        <v>45</v>
      </c>
      <c r="D411" s="3" t="s">
        <v>12</v>
      </c>
      <c r="E411" s="3" t="s">
        <v>41</v>
      </c>
      <c r="F411" s="3" t="s">
        <v>42</v>
      </c>
      <c r="G411" s="3" t="n">
        <v>11</v>
      </c>
      <c r="H411" s="3" t="n">
        <v>499</v>
      </c>
      <c r="I411" s="3" t="n">
        <f aca="false">G411*H411</f>
        <v>5489</v>
      </c>
    </row>
    <row r="412" customFormat="false" ht="15" hidden="false" customHeight="false" outlineLevel="0" collapsed="false">
      <c r="A412" s="3" t="s">
        <v>815</v>
      </c>
      <c r="B412" s="3" t="s">
        <v>1225</v>
      </c>
      <c r="C412" s="3" t="s">
        <v>105</v>
      </c>
      <c r="D412" s="3" t="s">
        <v>32</v>
      </c>
      <c r="E412" s="3" t="s">
        <v>56</v>
      </c>
      <c r="F412" s="3" t="s">
        <v>24</v>
      </c>
      <c r="G412" s="3" t="n">
        <v>7</v>
      </c>
      <c r="H412" s="3" t="n">
        <v>1799</v>
      </c>
      <c r="I412" s="3" t="n">
        <f aca="false">G412*H412</f>
        <v>12593</v>
      </c>
    </row>
    <row r="413" customFormat="false" ht="15" hidden="false" customHeight="false" outlineLevel="0" collapsed="false">
      <c r="A413" s="3" t="s">
        <v>91</v>
      </c>
      <c r="B413" s="3" t="s">
        <v>1225</v>
      </c>
      <c r="C413" s="3" t="s">
        <v>93</v>
      </c>
      <c r="D413" s="3" t="s">
        <v>12</v>
      </c>
      <c r="E413" s="3" t="s">
        <v>13</v>
      </c>
      <c r="F413" s="3" t="s">
        <v>28</v>
      </c>
      <c r="G413" s="3" t="n">
        <v>7</v>
      </c>
      <c r="H413" s="3" t="n">
        <v>1299</v>
      </c>
      <c r="I413" s="3" t="n">
        <f aca="false">G413*H413</f>
        <v>9093</v>
      </c>
    </row>
    <row r="414" customFormat="false" ht="15" hidden="false" customHeight="false" outlineLevel="0" collapsed="false">
      <c r="A414" s="3" t="s">
        <v>676</v>
      </c>
      <c r="B414" s="3" t="s">
        <v>1225</v>
      </c>
      <c r="C414" s="3" t="s">
        <v>45</v>
      </c>
      <c r="D414" s="3" t="s">
        <v>12</v>
      </c>
      <c r="E414" s="3" t="s">
        <v>41</v>
      </c>
      <c r="F414" s="3" t="s">
        <v>28</v>
      </c>
      <c r="G414" s="3" t="n">
        <v>13</v>
      </c>
      <c r="H414" s="3" t="n">
        <v>499</v>
      </c>
      <c r="I414" s="3" t="n">
        <f aca="false">G414*H414</f>
        <v>6487</v>
      </c>
    </row>
    <row r="415" customFormat="false" ht="15" hidden="false" customHeight="false" outlineLevel="0" collapsed="false">
      <c r="A415" s="3" t="s">
        <v>467</v>
      </c>
      <c r="B415" s="3" t="s">
        <v>1226</v>
      </c>
      <c r="C415" s="3" t="s">
        <v>38</v>
      </c>
      <c r="D415" s="3" t="s">
        <v>32</v>
      </c>
      <c r="E415" s="3" t="s">
        <v>41</v>
      </c>
      <c r="F415" s="3" t="s">
        <v>28</v>
      </c>
      <c r="G415" s="3" t="n">
        <v>2</v>
      </c>
      <c r="H415" s="3" t="n">
        <v>1999</v>
      </c>
      <c r="I415" s="3" t="n">
        <f aca="false">G415*H415</f>
        <v>3998</v>
      </c>
    </row>
    <row r="416" customFormat="false" ht="15" hidden="false" customHeight="false" outlineLevel="0" collapsed="false">
      <c r="A416" s="3" t="s">
        <v>792</v>
      </c>
      <c r="B416" s="3" t="s">
        <v>1227</v>
      </c>
      <c r="C416" s="3" t="s">
        <v>75</v>
      </c>
      <c r="D416" s="3" t="s">
        <v>32</v>
      </c>
      <c r="E416" s="3" t="s">
        <v>23</v>
      </c>
      <c r="F416" s="3" t="s">
        <v>24</v>
      </c>
      <c r="G416" s="3" t="n">
        <v>8</v>
      </c>
      <c r="H416" s="3" t="n">
        <v>8999</v>
      </c>
      <c r="I416" s="3" t="n">
        <f aca="false">G416*H416</f>
        <v>71992</v>
      </c>
    </row>
    <row r="417" customFormat="false" ht="15" hidden="false" customHeight="false" outlineLevel="0" collapsed="false">
      <c r="A417" s="3" t="s">
        <v>908</v>
      </c>
      <c r="B417" s="3" t="s">
        <v>1227</v>
      </c>
      <c r="C417" s="3" t="s">
        <v>105</v>
      </c>
      <c r="D417" s="3" t="s">
        <v>32</v>
      </c>
      <c r="E417" s="3" t="s">
        <v>23</v>
      </c>
      <c r="F417" s="3" t="s">
        <v>24</v>
      </c>
      <c r="G417" s="3" t="n">
        <v>12</v>
      </c>
      <c r="H417" s="3" t="n">
        <v>1799</v>
      </c>
      <c r="I417" s="3" t="n">
        <f aca="false">G417*H417</f>
        <v>21588</v>
      </c>
    </row>
    <row r="418" customFormat="false" ht="15" hidden="false" customHeight="false" outlineLevel="0" collapsed="false">
      <c r="A418" s="3" t="s">
        <v>893</v>
      </c>
      <c r="B418" s="3" t="s">
        <v>1228</v>
      </c>
      <c r="C418" s="3" t="s">
        <v>45</v>
      </c>
      <c r="D418" s="3" t="s">
        <v>12</v>
      </c>
      <c r="E418" s="3" t="s">
        <v>23</v>
      </c>
      <c r="F418" s="3" t="s">
        <v>35</v>
      </c>
      <c r="G418" s="3" t="n">
        <v>12</v>
      </c>
      <c r="H418" s="3" t="n">
        <v>499</v>
      </c>
      <c r="I418" s="3" t="n">
        <f aca="false">G418*H418</f>
        <v>5988</v>
      </c>
    </row>
    <row r="419" customFormat="false" ht="15" hidden="false" customHeight="false" outlineLevel="0" collapsed="false">
      <c r="A419" s="3" t="s">
        <v>503</v>
      </c>
      <c r="B419" s="3" t="s">
        <v>1228</v>
      </c>
      <c r="C419" s="3" t="s">
        <v>75</v>
      </c>
      <c r="D419" s="3" t="s">
        <v>32</v>
      </c>
      <c r="E419" s="3" t="s">
        <v>41</v>
      </c>
      <c r="F419" s="3" t="s">
        <v>42</v>
      </c>
      <c r="G419" s="3" t="n">
        <v>9</v>
      </c>
      <c r="H419" s="3" t="n">
        <v>8999</v>
      </c>
      <c r="I419" s="3" t="n">
        <f aca="false">G419*H419</f>
        <v>80991</v>
      </c>
    </row>
    <row r="420" customFormat="false" ht="15" hidden="false" customHeight="false" outlineLevel="0" collapsed="false">
      <c r="A420" s="3" t="s">
        <v>727</v>
      </c>
      <c r="B420" s="3" t="s">
        <v>1228</v>
      </c>
      <c r="C420" s="3" t="s">
        <v>45</v>
      </c>
      <c r="D420" s="3" t="s">
        <v>12</v>
      </c>
      <c r="E420" s="3" t="s">
        <v>13</v>
      </c>
      <c r="F420" s="3" t="s">
        <v>24</v>
      </c>
      <c r="G420" s="3" t="n">
        <v>5</v>
      </c>
      <c r="H420" s="3" t="n">
        <v>499</v>
      </c>
      <c r="I420" s="3" t="n">
        <f aca="false">G420*H420</f>
        <v>2495</v>
      </c>
    </row>
    <row r="421" customFormat="false" ht="15" hidden="false" customHeight="false" outlineLevel="0" collapsed="false">
      <c r="A421" s="3" t="s">
        <v>124</v>
      </c>
      <c r="B421" s="3" t="s">
        <v>1229</v>
      </c>
      <c r="C421" s="3" t="s">
        <v>55</v>
      </c>
      <c r="D421" s="3" t="s">
        <v>12</v>
      </c>
      <c r="E421" s="3" t="s">
        <v>41</v>
      </c>
      <c r="F421" s="3" t="s">
        <v>18</v>
      </c>
      <c r="G421" s="3" t="n">
        <v>7</v>
      </c>
      <c r="H421" s="3" t="n">
        <v>299</v>
      </c>
      <c r="I421" s="3" t="n">
        <f aca="false">G421*H421</f>
        <v>2093</v>
      </c>
    </row>
    <row r="422" customFormat="false" ht="15" hidden="false" customHeight="false" outlineLevel="0" collapsed="false">
      <c r="A422" s="3" t="s">
        <v>777</v>
      </c>
      <c r="B422" s="3" t="s">
        <v>1230</v>
      </c>
      <c r="C422" s="3" t="s">
        <v>16</v>
      </c>
      <c r="D422" s="3" t="s">
        <v>12</v>
      </c>
      <c r="E422" s="3" t="s">
        <v>41</v>
      </c>
      <c r="F422" s="3" t="s">
        <v>28</v>
      </c>
      <c r="G422" s="3" t="n">
        <v>11</v>
      </c>
      <c r="H422" s="3" t="n">
        <v>2499</v>
      </c>
      <c r="I422" s="3" t="n">
        <f aca="false">G422*H422</f>
        <v>27489</v>
      </c>
    </row>
    <row r="423" customFormat="false" ht="15" hidden="false" customHeight="false" outlineLevel="0" collapsed="false">
      <c r="A423" s="3" t="s">
        <v>263</v>
      </c>
      <c r="B423" s="3" t="s">
        <v>1230</v>
      </c>
      <c r="C423" s="3" t="s">
        <v>38</v>
      </c>
      <c r="D423" s="3" t="s">
        <v>32</v>
      </c>
      <c r="E423" s="3" t="s">
        <v>23</v>
      </c>
      <c r="F423" s="3" t="s">
        <v>18</v>
      </c>
      <c r="G423" s="3" t="n">
        <v>5</v>
      </c>
      <c r="H423" s="3" t="n">
        <v>1999</v>
      </c>
      <c r="I423" s="3" t="n">
        <f aca="false">G423*H423</f>
        <v>9995</v>
      </c>
    </row>
    <row r="424" customFormat="false" ht="15" hidden="false" customHeight="false" outlineLevel="0" collapsed="false">
      <c r="A424" s="3" t="s">
        <v>748</v>
      </c>
      <c r="B424" s="3" t="s">
        <v>1231</v>
      </c>
      <c r="C424" s="3" t="s">
        <v>45</v>
      </c>
      <c r="D424" s="3" t="s">
        <v>12</v>
      </c>
      <c r="E424" s="3" t="s">
        <v>41</v>
      </c>
      <c r="F424" s="3" t="s">
        <v>28</v>
      </c>
      <c r="G424" s="3" t="n">
        <v>9</v>
      </c>
      <c r="H424" s="3" t="n">
        <v>499</v>
      </c>
      <c r="I424" s="3" t="n">
        <f aca="false">G424*H424</f>
        <v>4491</v>
      </c>
    </row>
    <row r="425" customFormat="false" ht="15" hidden="false" customHeight="false" outlineLevel="0" collapsed="false">
      <c r="A425" s="3" t="s">
        <v>462</v>
      </c>
      <c r="B425" s="3" t="s">
        <v>1231</v>
      </c>
      <c r="C425" s="3" t="s">
        <v>31</v>
      </c>
      <c r="D425" s="3" t="s">
        <v>32</v>
      </c>
      <c r="E425" s="3" t="s">
        <v>56</v>
      </c>
      <c r="F425" s="3" t="s">
        <v>24</v>
      </c>
      <c r="G425" s="3" t="n">
        <v>1</v>
      </c>
      <c r="H425" s="3" t="n">
        <v>1499</v>
      </c>
      <c r="I425" s="3" t="n">
        <f aca="false">G425*H425</f>
        <v>1499</v>
      </c>
    </row>
    <row r="426" customFormat="false" ht="15" hidden="false" customHeight="false" outlineLevel="0" collapsed="false">
      <c r="A426" s="3" t="s">
        <v>982</v>
      </c>
      <c r="B426" s="3" t="s">
        <v>1231</v>
      </c>
      <c r="C426" s="3" t="s">
        <v>31</v>
      </c>
      <c r="D426" s="3" t="s">
        <v>32</v>
      </c>
      <c r="E426" s="3" t="s">
        <v>23</v>
      </c>
      <c r="F426" s="3" t="s">
        <v>42</v>
      </c>
      <c r="G426" s="3" t="n">
        <v>10</v>
      </c>
      <c r="H426" s="3" t="n">
        <v>1499</v>
      </c>
      <c r="I426" s="3" t="n">
        <f aca="false">G426*H426</f>
        <v>14990</v>
      </c>
    </row>
    <row r="427" customFormat="false" ht="15" hidden="false" customHeight="false" outlineLevel="0" collapsed="false">
      <c r="A427" s="3" t="s">
        <v>952</v>
      </c>
      <c r="B427" s="3" t="s">
        <v>1232</v>
      </c>
      <c r="C427" s="3" t="s">
        <v>105</v>
      </c>
      <c r="D427" s="3" t="s">
        <v>32</v>
      </c>
      <c r="E427" s="3" t="s">
        <v>13</v>
      </c>
      <c r="F427" s="3" t="s">
        <v>42</v>
      </c>
      <c r="G427" s="3" t="n">
        <v>9</v>
      </c>
      <c r="H427" s="3" t="n">
        <v>1799</v>
      </c>
      <c r="I427" s="3" t="n">
        <f aca="false">G427*H427</f>
        <v>16191</v>
      </c>
    </row>
    <row r="428" customFormat="false" ht="15" hidden="false" customHeight="false" outlineLevel="0" collapsed="false">
      <c r="A428" s="3" t="s">
        <v>990</v>
      </c>
      <c r="B428" s="3" t="s">
        <v>1232</v>
      </c>
      <c r="C428" s="3" t="s">
        <v>105</v>
      </c>
      <c r="D428" s="3" t="s">
        <v>32</v>
      </c>
      <c r="E428" s="3" t="s">
        <v>56</v>
      </c>
      <c r="F428" s="3" t="s">
        <v>18</v>
      </c>
      <c r="G428" s="3" t="n">
        <v>4</v>
      </c>
      <c r="H428" s="3" t="n">
        <v>1799</v>
      </c>
      <c r="I428" s="3" t="n">
        <f aca="false">G428*H428</f>
        <v>7196</v>
      </c>
    </row>
    <row r="429" customFormat="false" ht="15" hidden="false" customHeight="false" outlineLevel="0" collapsed="false">
      <c r="A429" s="3" t="s">
        <v>132</v>
      </c>
      <c r="B429" s="3" t="s">
        <v>1232</v>
      </c>
      <c r="C429" s="3" t="s">
        <v>75</v>
      </c>
      <c r="D429" s="3" t="s">
        <v>32</v>
      </c>
      <c r="E429" s="3" t="s">
        <v>56</v>
      </c>
      <c r="F429" s="3" t="s">
        <v>42</v>
      </c>
      <c r="G429" s="3" t="n">
        <v>3</v>
      </c>
      <c r="H429" s="3" t="n">
        <v>8999</v>
      </c>
      <c r="I429" s="3" t="n">
        <f aca="false">G429*H429</f>
        <v>26997</v>
      </c>
    </row>
    <row r="430" customFormat="false" ht="15" hidden="false" customHeight="false" outlineLevel="0" collapsed="false">
      <c r="A430" s="3" t="s">
        <v>326</v>
      </c>
      <c r="B430" s="3" t="s">
        <v>1232</v>
      </c>
      <c r="C430" s="3" t="s">
        <v>21</v>
      </c>
      <c r="D430" s="3" t="s">
        <v>22</v>
      </c>
      <c r="E430" s="3" t="s">
        <v>23</v>
      </c>
      <c r="F430" s="3" t="s">
        <v>18</v>
      </c>
      <c r="G430" s="3" t="n">
        <v>3</v>
      </c>
      <c r="H430" s="3" t="n">
        <v>699</v>
      </c>
      <c r="I430" s="3" t="n">
        <f aca="false">G430*H430</f>
        <v>2097</v>
      </c>
    </row>
    <row r="431" customFormat="false" ht="15" hidden="false" customHeight="false" outlineLevel="0" collapsed="false">
      <c r="A431" s="3" t="s">
        <v>81</v>
      </c>
      <c r="B431" s="3" t="s">
        <v>1233</v>
      </c>
      <c r="C431" s="3" t="s">
        <v>16</v>
      </c>
      <c r="D431" s="3" t="s">
        <v>12</v>
      </c>
      <c r="E431" s="3" t="s">
        <v>56</v>
      </c>
      <c r="F431" s="3" t="s">
        <v>18</v>
      </c>
      <c r="G431" s="3" t="n">
        <v>3</v>
      </c>
      <c r="H431" s="3" t="n">
        <v>2499</v>
      </c>
      <c r="I431" s="3" t="n">
        <f aca="false">G431*H431</f>
        <v>7497</v>
      </c>
    </row>
    <row r="432" customFormat="false" ht="15" hidden="false" customHeight="false" outlineLevel="0" collapsed="false">
      <c r="A432" s="3" t="s">
        <v>798</v>
      </c>
      <c r="B432" s="3" t="s">
        <v>1233</v>
      </c>
      <c r="C432" s="3" t="s">
        <v>105</v>
      </c>
      <c r="D432" s="3" t="s">
        <v>32</v>
      </c>
      <c r="E432" s="3" t="s">
        <v>56</v>
      </c>
      <c r="F432" s="3" t="s">
        <v>24</v>
      </c>
      <c r="G432" s="3" t="n">
        <v>6</v>
      </c>
      <c r="H432" s="3" t="n">
        <v>1799</v>
      </c>
      <c r="I432" s="3" t="n">
        <f aca="false">G432*H432</f>
        <v>10794</v>
      </c>
    </row>
    <row r="433" customFormat="false" ht="15" hidden="false" customHeight="false" outlineLevel="0" collapsed="false">
      <c r="A433" s="3" t="s">
        <v>537</v>
      </c>
      <c r="B433" s="3" t="s">
        <v>1233</v>
      </c>
      <c r="C433" s="3" t="s">
        <v>105</v>
      </c>
      <c r="D433" s="3" t="s">
        <v>32</v>
      </c>
      <c r="E433" s="3" t="s">
        <v>23</v>
      </c>
      <c r="F433" s="3" t="s">
        <v>24</v>
      </c>
      <c r="G433" s="3" t="n">
        <v>7</v>
      </c>
      <c r="H433" s="3" t="n">
        <v>1799</v>
      </c>
      <c r="I433" s="3" t="n">
        <f aca="false">G433*H433</f>
        <v>12593</v>
      </c>
    </row>
    <row r="434" customFormat="false" ht="15" hidden="false" customHeight="false" outlineLevel="0" collapsed="false">
      <c r="A434" s="3" t="s">
        <v>269</v>
      </c>
      <c r="B434" s="3" t="s">
        <v>1234</v>
      </c>
      <c r="C434" s="3" t="s">
        <v>45</v>
      </c>
      <c r="D434" s="3" t="s">
        <v>12</v>
      </c>
      <c r="E434" s="3" t="s">
        <v>56</v>
      </c>
      <c r="F434" s="3" t="s">
        <v>35</v>
      </c>
      <c r="G434" s="3" t="n">
        <v>13</v>
      </c>
      <c r="H434" s="3" t="n">
        <v>499</v>
      </c>
      <c r="I434" s="3" t="n">
        <f aca="false">G434*H434</f>
        <v>6487</v>
      </c>
    </row>
    <row r="435" customFormat="false" ht="15" hidden="false" customHeight="false" outlineLevel="0" collapsed="false">
      <c r="A435" s="3" t="s">
        <v>469</v>
      </c>
      <c r="B435" s="3" t="s">
        <v>1234</v>
      </c>
      <c r="C435" s="3" t="s">
        <v>45</v>
      </c>
      <c r="D435" s="3" t="s">
        <v>12</v>
      </c>
      <c r="E435" s="3" t="s">
        <v>13</v>
      </c>
      <c r="F435" s="3" t="s">
        <v>28</v>
      </c>
      <c r="G435" s="3" t="n">
        <v>13</v>
      </c>
      <c r="H435" s="3" t="n">
        <v>499</v>
      </c>
      <c r="I435" s="3" t="n">
        <f aca="false">G435*H435</f>
        <v>6487</v>
      </c>
    </row>
    <row r="436" customFormat="false" ht="15" hidden="false" customHeight="false" outlineLevel="0" collapsed="false">
      <c r="A436" s="3" t="s">
        <v>778</v>
      </c>
      <c r="B436" s="3" t="s">
        <v>1235</v>
      </c>
      <c r="C436" s="3" t="s">
        <v>38</v>
      </c>
      <c r="D436" s="3" t="s">
        <v>32</v>
      </c>
      <c r="E436" s="3" t="s">
        <v>41</v>
      </c>
      <c r="F436" s="3" t="s">
        <v>35</v>
      </c>
      <c r="G436" s="3" t="n">
        <v>13</v>
      </c>
      <c r="H436" s="3" t="n">
        <v>1999</v>
      </c>
      <c r="I436" s="3" t="n">
        <f aca="false">G436*H436</f>
        <v>25987</v>
      </c>
    </row>
    <row r="437" customFormat="false" ht="15" hidden="false" customHeight="false" outlineLevel="0" collapsed="false">
      <c r="A437" s="3" t="s">
        <v>299</v>
      </c>
      <c r="B437" s="3" t="s">
        <v>1235</v>
      </c>
      <c r="C437" s="3" t="s">
        <v>45</v>
      </c>
      <c r="D437" s="3" t="s">
        <v>12</v>
      </c>
      <c r="E437" s="3" t="s">
        <v>56</v>
      </c>
      <c r="F437" s="3" t="s">
        <v>28</v>
      </c>
      <c r="G437" s="3" t="n">
        <v>5</v>
      </c>
      <c r="H437" s="3" t="n">
        <v>499</v>
      </c>
      <c r="I437" s="3" t="n">
        <f aca="false">G437*H437</f>
        <v>2495</v>
      </c>
    </row>
    <row r="438" customFormat="false" ht="15" hidden="false" customHeight="false" outlineLevel="0" collapsed="false">
      <c r="A438" s="3" t="s">
        <v>161</v>
      </c>
      <c r="B438" s="3" t="s">
        <v>1236</v>
      </c>
      <c r="C438" s="3" t="s">
        <v>38</v>
      </c>
      <c r="D438" s="3" t="s">
        <v>32</v>
      </c>
      <c r="E438" s="3" t="s">
        <v>41</v>
      </c>
      <c r="F438" s="3" t="s">
        <v>24</v>
      </c>
      <c r="G438" s="3" t="n">
        <v>8</v>
      </c>
      <c r="H438" s="3" t="n">
        <v>1999</v>
      </c>
      <c r="I438" s="3" t="n">
        <f aca="false">G438*H438</f>
        <v>15992</v>
      </c>
    </row>
    <row r="439" customFormat="false" ht="15" hidden="false" customHeight="false" outlineLevel="0" collapsed="false">
      <c r="A439" s="3" t="s">
        <v>143</v>
      </c>
      <c r="B439" s="3" t="s">
        <v>1237</v>
      </c>
      <c r="C439" s="3" t="s">
        <v>75</v>
      </c>
      <c r="D439" s="3" t="s">
        <v>32</v>
      </c>
      <c r="E439" s="3" t="s">
        <v>56</v>
      </c>
      <c r="F439" s="3" t="s">
        <v>35</v>
      </c>
      <c r="G439" s="3" t="n">
        <v>4</v>
      </c>
      <c r="H439" s="3" t="n">
        <v>8999</v>
      </c>
      <c r="I439" s="3" t="n">
        <f aca="false">G439*H439</f>
        <v>35996</v>
      </c>
    </row>
    <row r="440" customFormat="false" ht="15" hidden="false" customHeight="false" outlineLevel="0" collapsed="false">
      <c r="A440" s="3" t="s">
        <v>439</v>
      </c>
      <c r="B440" s="3" t="s">
        <v>1238</v>
      </c>
      <c r="C440" s="3" t="s">
        <v>21</v>
      </c>
      <c r="D440" s="3" t="s">
        <v>22</v>
      </c>
      <c r="E440" s="3" t="s">
        <v>23</v>
      </c>
      <c r="F440" s="3" t="s">
        <v>35</v>
      </c>
      <c r="G440" s="3" t="n">
        <v>3</v>
      </c>
      <c r="H440" s="3" t="n">
        <v>699</v>
      </c>
      <c r="I440" s="3" t="n">
        <f aca="false">G440*H440</f>
        <v>2097</v>
      </c>
    </row>
    <row r="441" customFormat="false" ht="15" hidden="false" customHeight="false" outlineLevel="0" collapsed="false">
      <c r="A441" s="3" t="s">
        <v>959</v>
      </c>
      <c r="B441" s="3" t="s">
        <v>1238</v>
      </c>
      <c r="C441" s="3" t="s">
        <v>38</v>
      </c>
      <c r="D441" s="3" t="s">
        <v>32</v>
      </c>
      <c r="E441" s="3" t="s">
        <v>23</v>
      </c>
      <c r="F441" s="3" t="s">
        <v>42</v>
      </c>
      <c r="G441" s="3" t="n">
        <v>11</v>
      </c>
      <c r="H441" s="3" t="n">
        <v>1999</v>
      </c>
      <c r="I441" s="3" t="n">
        <f aca="false">G441*H441</f>
        <v>21989</v>
      </c>
    </row>
    <row r="442" customFormat="false" ht="15" hidden="false" customHeight="false" outlineLevel="0" collapsed="false">
      <c r="A442" s="3" t="s">
        <v>397</v>
      </c>
      <c r="B442" s="3" t="s">
        <v>1238</v>
      </c>
      <c r="C442" s="3" t="s">
        <v>31</v>
      </c>
      <c r="D442" s="3" t="s">
        <v>32</v>
      </c>
      <c r="E442" s="3" t="s">
        <v>13</v>
      </c>
      <c r="F442" s="3" t="s">
        <v>35</v>
      </c>
      <c r="G442" s="3" t="n">
        <v>8</v>
      </c>
      <c r="H442" s="3" t="n">
        <v>1499</v>
      </c>
      <c r="I442" s="3" t="n">
        <f aca="false">G442*H442</f>
        <v>11992</v>
      </c>
    </row>
    <row r="443" customFormat="false" ht="15" hidden="false" customHeight="false" outlineLevel="0" collapsed="false">
      <c r="A443" s="3" t="s">
        <v>863</v>
      </c>
      <c r="B443" s="3" t="s">
        <v>1239</v>
      </c>
      <c r="C443" s="3" t="s">
        <v>105</v>
      </c>
      <c r="D443" s="3" t="s">
        <v>32</v>
      </c>
      <c r="E443" s="3" t="s">
        <v>56</v>
      </c>
      <c r="F443" s="3" t="s">
        <v>42</v>
      </c>
      <c r="G443" s="3" t="n">
        <v>14</v>
      </c>
      <c r="H443" s="3" t="n">
        <v>1799</v>
      </c>
      <c r="I443" s="3" t="n">
        <f aca="false">G443*H443</f>
        <v>25186</v>
      </c>
    </row>
    <row r="444" customFormat="false" ht="15" hidden="false" customHeight="false" outlineLevel="0" collapsed="false">
      <c r="A444" s="3" t="s">
        <v>296</v>
      </c>
      <c r="B444" s="3" t="s">
        <v>1239</v>
      </c>
      <c r="C444" s="3" t="s">
        <v>75</v>
      </c>
      <c r="D444" s="3" t="s">
        <v>32</v>
      </c>
      <c r="E444" s="3" t="s">
        <v>13</v>
      </c>
      <c r="F444" s="3" t="s">
        <v>35</v>
      </c>
      <c r="G444" s="3" t="n">
        <v>10</v>
      </c>
      <c r="H444" s="3" t="n">
        <v>8999</v>
      </c>
      <c r="I444" s="3" t="n">
        <f aca="false">G444*H444</f>
        <v>89990</v>
      </c>
    </row>
    <row r="445" customFormat="false" ht="15" hidden="false" customHeight="false" outlineLevel="0" collapsed="false">
      <c r="A445" s="3" t="s">
        <v>545</v>
      </c>
      <c r="B445" s="3" t="s">
        <v>1240</v>
      </c>
      <c r="C445" s="3" t="s">
        <v>21</v>
      </c>
      <c r="D445" s="3" t="s">
        <v>22</v>
      </c>
      <c r="E445" s="3" t="s">
        <v>23</v>
      </c>
      <c r="F445" s="3" t="s">
        <v>18</v>
      </c>
      <c r="G445" s="3" t="n">
        <v>11</v>
      </c>
      <c r="H445" s="3" t="n">
        <v>699</v>
      </c>
      <c r="I445" s="3" t="n">
        <f aca="false">G445*H445</f>
        <v>7689</v>
      </c>
    </row>
    <row r="446" customFormat="false" ht="15" hidden="false" customHeight="false" outlineLevel="0" collapsed="false">
      <c r="A446" s="3" t="s">
        <v>157</v>
      </c>
      <c r="B446" s="3" t="s">
        <v>1240</v>
      </c>
      <c r="C446" s="3" t="s">
        <v>27</v>
      </c>
      <c r="D446" s="3" t="s">
        <v>22</v>
      </c>
      <c r="E446" s="3" t="s">
        <v>13</v>
      </c>
      <c r="F446" s="3" t="s">
        <v>42</v>
      </c>
      <c r="G446" s="3" t="n">
        <v>8</v>
      </c>
      <c r="H446" s="3" t="n">
        <v>899</v>
      </c>
      <c r="I446" s="3" t="n">
        <f aca="false">G446*H446</f>
        <v>7192</v>
      </c>
    </row>
    <row r="447" customFormat="false" ht="15" hidden="false" customHeight="false" outlineLevel="0" collapsed="false">
      <c r="A447" s="3" t="s">
        <v>322</v>
      </c>
      <c r="B447" s="3" t="s">
        <v>1241</v>
      </c>
      <c r="C447" s="3" t="s">
        <v>27</v>
      </c>
      <c r="D447" s="3" t="s">
        <v>22</v>
      </c>
      <c r="E447" s="3" t="s">
        <v>41</v>
      </c>
      <c r="F447" s="3" t="s">
        <v>35</v>
      </c>
      <c r="G447" s="3" t="n">
        <v>13</v>
      </c>
      <c r="H447" s="3" t="n">
        <v>899</v>
      </c>
      <c r="I447" s="3" t="n">
        <f aca="false">G447*H447</f>
        <v>11687</v>
      </c>
    </row>
    <row r="448" customFormat="false" ht="15" hidden="false" customHeight="false" outlineLevel="0" collapsed="false">
      <c r="A448" s="3" t="s">
        <v>755</v>
      </c>
      <c r="B448" s="3" t="s">
        <v>1241</v>
      </c>
      <c r="C448" s="3" t="s">
        <v>27</v>
      </c>
      <c r="D448" s="3" t="s">
        <v>22</v>
      </c>
      <c r="E448" s="3" t="s">
        <v>41</v>
      </c>
      <c r="F448" s="3" t="s">
        <v>42</v>
      </c>
      <c r="G448" s="3" t="n">
        <v>8</v>
      </c>
      <c r="H448" s="3" t="n">
        <v>899</v>
      </c>
      <c r="I448" s="3" t="n">
        <f aca="false">G448*H448</f>
        <v>7192</v>
      </c>
    </row>
    <row r="449" customFormat="false" ht="15" hidden="false" customHeight="false" outlineLevel="0" collapsed="false">
      <c r="A449" s="3" t="s">
        <v>884</v>
      </c>
      <c r="B449" s="3" t="s">
        <v>1242</v>
      </c>
      <c r="C449" s="3" t="s">
        <v>27</v>
      </c>
      <c r="D449" s="3" t="s">
        <v>22</v>
      </c>
      <c r="E449" s="3" t="s">
        <v>13</v>
      </c>
      <c r="F449" s="3" t="s">
        <v>42</v>
      </c>
      <c r="G449" s="3" t="n">
        <v>5</v>
      </c>
      <c r="H449" s="3" t="n">
        <v>899</v>
      </c>
      <c r="I449" s="3" t="n">
        <f aca="false">G449*H449</f>
        <v>4495</v>
      </c>
    </row>
    <row r="450" customFormat="false" ht="15" hidden="false" customHeight="false" outlineLevel="0" collapsed="false">
      <c r="A450" s="3" t="s">
        <v>409</v>
      </c>
      <c r="B450" s="3" t="s">
        <v>1242</v>
      </c>
      <c r="C450" s="3" t="s">
        <v>16</v>
      </c>
      <c r="D450" s="3" t="s">
        <v>12</v>
      </c>
      <c r="E450" s="3" t="s">
        <v>41</v>
      </c>
      <c r="F450" s="3" t="s">
        <v>35</v>
      </c>
      <c r="G450" s="3" t="n">
        <v>8</v>
      </c>
      <c r="H450" s="3" t="n">
        <v>2499</v>
      </c>
      <c r="I450" s="3" t="n">
        <f aca="false">G450*H450</f>
        <v>19992</v>
      </c>
    </row>
    <row r="451" customFormat="false" ht="15" hidden="false" customHeight="false" outlineLevel="0" collapsed="false">
      <c r="A451" s="3" t="s">
        <v>555</v>
      </c>
      <c r="B451" s="3" t="s">
        <v>1242</v>
      </c>
      <c r="C451" s="3" t="s">
        <v>93</v>
      </c>
      <c r="D451" s="3" t="s">
        <v>12</v>
      </c>
      <c r="E451" s="3" t="s">
        <v>56</v>
      </c>
      <c r="F451" s="3" t="s">
        <v>35</v>
      </c>
      <c r="G451" s="3" t="n">
        <v>11</v>
      </c>
      <c r="H451" s="3" t="n">
        <v>1299</v>
      </c>
      <c r="I451" s="3" t="n">
        <f aca="false">G451*H451</f>
        <v>14289</v>
      </c>
    </row>
    <row r="452" customFormat="false" ht="15" hidden="false" customHeight="false" outlineLevel="0" collapsed="false">
      <c r="A452" s="3" t="s">
        <v>937</v>
      </c>
      <c r="B452" s="3" t="s">
        <v>1242</v>
      </c>
      <c r="C452" s="3" t="s">
        <v>93</v>
      </c>
      <c r="D452" s="3" t="s">
        <v>12</v>
      </c>
      <c r="E452" s="3" t="s">
        <v>41</v>
      </c>
      <c r="F452" s="3" t="s">
        <v>18</v>
      </c>
      <c r="G452" s="3" t="n">
        <v>7</v>
      </c>
      <c r="H452" s="3" t="n">
        <v>1299</v>
      </c>
      <c r="I452" s="3" t="n">
        <f aca="false">G452*H452</f>
        <v>9093</v>
      </c>
    </row>
    <row r="453" customFormat="false" ht="15" hidden="false" customHeight="false" outlineLevel="0" collapsed="false">
      <c r="A453" s="3" t="s">
        <v>53</v>
      </c>
      <c r="B453" s="3" t="s">
        <v>1243</v>
      </c>
      <c r="C453" s="3" t="s">
        <v>55</v>
      </c>
      <c r="D453" s="3" t="s">
        <v>12</v>
      </c>
      <c r="E453" s="3" t="s">
        <v>56</v>
      </c>
      <c r="F453" s="3" t="s">
        <v>42</v>
      </c>
      <c r="G453" s="3" t="n">
        <v>3</v>
      </c>
      <c r="H453" s="3" t="n">
        <v>299</v>
      </c>
      <c r="I453" s="3" t="n">
        <f aca="false">G453*H453</f>
        <v>897</v>
      </c>
    </row>
    <row r="454" customFormat="false" ht="15" hidden="false" customHeight="false" outlineLevel="0" collapsed="false">
      <c r="A454" s="3" t="s">
        <v>866</v>
      </c>
      <c r="B454" s="3" t="s">
        <v>1243</v>
      </c>
      <c r="C454" s="3" t="s">
        <v>27</v>
      </c>
      <c r="D454" s="3" t="s">
        <v>22</v>
      </c>
      <c r="E454" s="3" t="s">
        <v>41</v>
      </c>
      <c r="F454" s="3" t="s">
        <v>42</v>
      </c>
      <c r="G454" s="3" t="n">
        <v>5</v>
      </c>
      <c r="H454" s="3" t="n">
        <v>899</v>
      </c>
      <c r="I454" s="3" t="n">
        <f aca="false">G454*H454</f>
        <v>4495</v>
      </c>
    </row>
    <row r="455" customFormat="false" ht="15" hidden="false" customHeight="false" outlineLevel="0" collapsed="false">
      <c r="A455" s="3" t="s">
        <v>633</v>
      </c>
      <c r="B455" s="3" t="s">
        <v>1244</v>
      </c>
      <c r="C455" s="3" t="s">
        <v>75</v>
      </c>
      <c r="D455" s="3" t="s">
        <v>32</v>
      </c>
      <c r="E455" s="3" t="s">
        <v>41</v>
      </c>
      <c r="F455" s="3" t="s">
        <v>18</v>
      </c>
      <c r="G455" s="3" t="n">
        <v>7</v>
      </c>
      <c r="H455" s="3" t="n">
        <v>8999</v>
      </c>
      <c r="I455" s="3" t="n">
        <f aca="false">G455*H455</f>
        <v>62993</v>
      </c>
    </row>
    <row r="456" customFormat="false" ht="15" hidden="false" customHeight="false" outlineLevel="0" collapsed="false">
      <c r="A456" s="3" t="s">
        <v>445</v>
      </c>
      <c r="B456" s="3" t="s">
        <v>1244</v>
      </c>
      <c r="C456" s="3" t="s">
        <v>21</v>
      </c>
      <c r="D456" s="3" t="s">
        <v>22</v>
      </c>
      <c r="E456" s="3" t="s">
        <v>13</v>
      </c>
      <c r="F456" s="3" t="s">
        <v>35</v>
      </c>
      <c r="G456" s="3" t="n">
        <v>5</v>
      </c>
      <c r="H456" s="3" t="n">
        <v>699</v>
      </c>
      <c r="I456" s="3" t="n">
        <f aca="false">G456*H456</f>
        <v>3495</v>
      </c>
    </row>
    <row r="457" customFormat="false" ht="15" hidden="false" customHeight="false" outlineLevel="0" collapsed="false">
      <c r="A457" s="3" t="s">
        <v>588</v>
      </c>
      <c r="B457" s="3" t="s">
        <v>1245</v>
      </c>
      <c r="C457" s="3" t="s">
        <v>38</v>
      </c>
      <c r="D457" s="3" t="s">
        <v>32</v>
      </c>
      <c r="E457" s="3" t="s">
        <v>56</v>
      </c>
      <c r="F457" s="3" t="s">
        <v>28</v>
      </c>
      <c r="G457" s="3" t="n">
        <v>2</v>
      </c>
      <c r="H457" s="3" t="n">
        <v>1999</v>
      </c>
      <c r="I457" s="3" t="n">
        <f aca="false">G457*H457</f>
        <v>3998</v>
      </c>
    </row>
    <row r="458" customFormat="false" ht="15" hidden="false" customHeight="false" outlineLevel="0" collapsed="false">
      <c r="A458" s="3" t="s">
        <v>163</v>
      </c>
      <c r="B458" s="3" t="s">
        <v>1245</v>
      </c>
      <c r="C458" s="3" t="s">
        <v>27</v>
      </c>
      <c r="D458" s="3" t="s">
        <v>22</v>
      </c>
      <c r="E458" s="3" t="s">
        <v>56</v>
      </c>
      <c r="F458" s="3" t="s">
        <v>1041</v>
      </c>
      <c r="G458" s="3" t="n">
        <v>13</v>
      </c>
      <c r="H458" s="3" t="n">
        <v>899</v>
      </c>
      <c r="I458" s="3" t="n">
        <f aca="false">G458*H458</f>
        <v>11687</v>
      </c>
    </row>
    <row r="459" customFormat="false" ht="15" hidden="false" customHeight="false" outlineLevel="0" collapsed="false">
      <c r="A459" s="3" t="s">
        <v>191</v>
      </c>
      <c r="B459" s="3" t="s">
        <v>1245</v>
      </c>
      <c r="C459" s="3" t="s">
        <v>27</v>
      </c>
      <c r="D459" s="3" t="s">
        <v>22</v>
      </c>
      <c r="E459" s="3" t="s">
        <v>56</v>
      </c>
      <c r="F459" s="3" t="s">
        <v>42</v>
      </c>
      <c r="G459" s="3" t="n">
        <v>12</v>
      </c>
      <c r="H459" s="3" t="n">
        <v>899</v>
      </c>
      <c r="I459" s="3" t="n">
        <f aca="false">G459*H459</f>
        <v>10788</v>
      </c>
    </row>
    <row r="460" customFormat="false" ht="15" hidden="false" customHeight="false" outlineLevel="0" collapsed="false">
      <c r="A460" s="3" t="s">
        <v>198</v>
      </c>
      <c r="B460" s="3" t="s">
        <v>1246</v>
      </c>
      <c r="C460" s="3" t="s">
        <v>27</v>
      </c>
      <c r="D460" s="3" t="s">
        <v>22</v>
      </c>
      <c r="E460" s="3" t="s">
        <v>56</v>
      </c>
      <c r="F460" s="3" t="s">
        <v>35</v>
      </c>
      <c r="G460" s="3" t="n">
        <v>11</v>
      </c>
      <c r="H460" s="3" t="n">
        <v>899</v>
      </c>
      <c r="I460" s="3" t="n">
        <f aca="false">G460*H460</f>
        <v>9889</v>
      </c>
    </row>
    <row r="461" customFormat="false" ht="15" hidden="false" customHeight="false" outlineLevel="0" collapsed="false">
      <c r="A461" s="3" t="s">
        <v>745</v>
      </c>
      <c r="B461" s="3" t="s">
        <v>1246</v>
      </c>
      <c r="C461" s="3" t="s">
        <v>31</v>
      </c>
      <c r="D461" s="3" t="s">
        <v>32</v>
      </c>
      <c r="E461" s="3" t="s">
        <v>13</v>
      </c>
      <c r="F461" s="3" t="s">
        <v>28</v>
      </c>
      <c r="G461" s="3" t="n">
        <v>5</v>
      </c>
      <c r="H461" s="3" t="n">
        <v>1499</v>
      </c>
      <c r="I461" s="3" t="n">
        <f aca="false">G461*H461</f>
        <v>7495</v>
      </c>
    </row>
    <row r="462" customFormat="false" ht="15" hidden="false" customHeight="false" outlineLevel="0" collapsed="false">
      <c r="A462" s="3" t="s">
        <v>782</v>
      </c>
      <c r="B462" s="3" t="s">
        <v>1246</v>
      </c>
      <c r="C462" s="3" t="s">
        <v>27</v>
      </c>
      <c r="D462" s="3" t="s">
        <v>22</v>
      </c>
      <c r="E462" s="3" t="s">
        <v>13</v>
      </c>
      <c r="F462" s="3" t="s">
        <v>28</v>
      </c>
      <c r="G462" s="3" t="n">
        <v>3</v>
      </c>
      <c r="H462" s="3" t="n">
        <v>899</v>
      </c>
      <c r="I462" s="3" t="n">
        <f aca="false">G462*H462</f>
        <v>2697</v>
      </c>
    </row>
    <row r="463" customFormat="false" ht="15" hidden="false" customHeight="false" outlineLevel="0" collapsed="false">
      <c r="A463" s="3" t="s">
        <v>906</v>
      </c>
      <c r="B463" s="3" t="s">
        <v>1246</v>
      </c>
      <c r="C463" s="3" t="s">
        <v>16</v>
      </c>
      <c r="D463" s="3" t="s">
        <v>12</v>
      </c>
      <c r="E463" s="3" t="s">
        <v>13</v>
      </c>
      <c r="F463" s="3" t="s">
        <v>18</v>
      </c>
      <c r="G463" s="3" t="n">
        <v>5</v>
      </c>
      <c r="H463" s="3" t="n">
        <v>2499</v>
      </c>
      <c r="I463" s="3" t="n">
        <f aca="false">G463*H463</f>
        <v>12495</v>
      </c>
    </row>
    <row r="464" customFormat="false" ht="15" hidden="false" customHeight="false" outlineLevel="0" collapsed="false">
      <c r="A464" s="3" t="s">
        <v>234</v>
      </c>
      <c r="B464" s="3" t="s">
        <v>1247</v>
      </c>
      <c r="C464" s="3" t="s">
        <v>38</v>
      </c>
      <c r="D464" s="3" t="s">
        <v>32</v>
      </c>
      <c r="E464" s="3" t="s">
        <v>23</v>
      </c>
      <c r="F464" s="3" t="s">
        <v>28</v>
      </c>
      <c r="G464" s="3" t="n">
        <v>4</v>
      </c>
      <c r="H464" s="3" t="n">
        <v>1999</v>
      </c>
      <c r="I464" s="3" t="n">
        <f aca="false">G464*H464</f>
        <v>7996</v>
      </c>
    </row>
    <row r="465" customFormat="false" ht="15" hidden="false" customHeight="false" outlineLevel="0" collapsed="false">
      <c r="A465" s="3" t="s">
        <v>878</v>
      </c>
      <c r="B465" s="3" t="s">
        <v>1247</v>
      </c>
      <c r="C465" s="3" t="s">
        <v>45</v>
      </c>
      <c r="D465" s="3" t="s">
        <v>12</v>
      </c>
      <c r="E465" s="3" t="s">
        <v>56</v>
      </c>
      <c r="F465" s="3" t="s">
        <v>35</v>
      </c>
      <c r="G465" s="3" t="n">
        <v>8</v>
      </c>
      <c r="H465" s="3" t="n">
        <v>499</v>
      </c>
      <c r="I465" s="3" t="n">
        <f aca="false">G465*H465</f>
        <v>3992</v>
      </c>
    </row>
    <row r="466" customFormat="false" ht="15" hidden="false" customHeight="false" outlineLevel="0" collapsed="false">
      <c r="A466" s="3" t="s">
        <v>384</v>
      </c>
      <c r="B466" s="3" t="s">
        <v>1248</v>
      </c>
      <c r="C466" s="3" t="s">
        <v>38</v>
      </c>
      <c r="D466" s="3" t="s">
        <v>32</v>
      </c>
      <c r="E466" s="3" t="s">
        <v>13</v>
      </c>
      <c r="F466" s="3" t="s">
        <v>35</v>
      </c>
      <c r="G466" s="3" t="n">
        <v>9</v>
      </c>
      <c r="H466" s="3" t="n">
        <v>1999</v>
      </c>
      <c r="I466" s="3" t="n">
        <f aca="false">G466*H466</f>
        <v>17991</v>
      </c>
    </row>
    <row r="467" customFormat="false" ht="15" hidden="false" customHeight="false" outlineLevel="0" collapsed="false">
      <c r="A467" s="3" t="s">
        <v>905</v>
      </c>
      <c r="B467" s="3" t="s">
        <v>1248</v>
      </c>
      <c r="C467" s="3" t="s">
        <v>31</v>
      </c>
      <c r="D467" s="3" t="s">
        <v>32</v>
      </c>
      <c r="E467" s="3" t="s">
        <v>13</v>
      </c>
      <c r="F467" s="3" t="s">
        <v>42</v>
      </c>
      <c r="G467" s="3" t="n">
        <v>12</v>
      </c>
      <c r="H467" s="3" t="n">
        <v>1499</v>
      </c>
      <c r="I467" s="3" t="n">
        <f aca="false">G467*H467</f>
        <v>17988</v>
      </c>
    </row>
    <row r="468" customFormat="false" ht="15" hidden="false" customHeight="false" outlineLevel="0" collapsed="false">
      <c r="A468" s="3" t="s">
        <v>814</v>
      </c>
      <c r="B468" s="3" t="s">
        <v>1248</v>
      </c>
      <c r="C468" s="3" t="s">
        <v>105</v>
      </c>
      <c r="D468" s="3" t="s">
        <v>32</v>
      </c>
      <c r="E468" s="3" t="s">
        <v>41</v>
      </c>
      <c r="F468" s="3" t="s">
        <v>24</v>
      </c>
      <c r="G468" s="3" t="n">
        <v>3</v>
      </c>
      <c r="H468" s="3" t="n">
        <v>1799</v>
      </c>
      <c r="I468" s="3" t="n">
        <f aca="false">G468*H468</f>
        <v>5397</v>
      </c>
    </row>
    <row r="469" customFormat="false" ht="15" hidden="false" customHeight="false" outlineLevel="0" collapsed="false">
      <c r="A469" s="3" t="s">
        <v>587</v>
      </c>
      <c r="B469" s="3" t="s">
        <v>1248</v>
      </c>
      <c r="C469" s="3" t="s">
        <v>21</v>
      </c>
      <c r="D469" s="3" t="s">
        <v>22</v>
      </c>
      <c r="E469" s="3" t="s">
        <v>13</v>
      </c>
      <c r="F469" s="3" t="s">
        <v>18</v>
      </c>
      <c r="G469" s="3" t="n">
        <v>7</v>
      </c>
      <c r="H469" s="3" t="n">
        <v>699</v>
      </c>
      <c r="I469" s="3" t="n">
        <f aca="false">G469*H469</f>
        <v>4893</v>
      </c>
    </row>
    <row r="470" customFormat="false" ht="15" hidden="false" customHeight="false" outlineLevel="0" collapsed="false">
      <c r="A470" s="3" t="s">
        <v>495</v>
      </c>
      <c r="B470" s="3" t="s">
        <v>1248</v>
      </c>
      <c r="C470" s="3" t="s">
        <v>27</v>
      </c>
      <c r="D470" s="3" t="s">
        <v>22</v>
      </c>
      <c r="E470" s="3" t="s">
        <v>41</v>
      </c>
      <c r="F470" s="3" t="s">
        <v>28</v>
      </c>
      <c r="G470" s="3" t="n">
        <v>5</v>
      </c>
      <c r="H470" s="3" t="n">
        <v>899</v>
      </c>
      <c r="I470" s="3" t="n">
        <f aca="false">G470*H470</f>
        <v>4495</v>
      </c>
    </row>
    <row r="471" customFormat="false" ht="15" hidden="false" customHeight="false" outlineLevel="0" collapsed="false">
      <c r="A471" s="3" t="s">
        <v>175</v>
      </c>
      <c r="B471" s="3" t="s">
        <v>1248</v>
      </c>
      <c r="C471" s="3" t="s">
        <v>38</v>
      </c>
      <c r="D471" s="3" t="s">
        <v>32</v>
      </c>
      <c r="E471" s="3" t="s">
        <v>13</v>
      </c>
      <c r="F471" s="3" t="s">
        <v>35</v>
      </c>
      <c r="G471" s="3" t="n">
        <v>3</v>
      </c>
      <c r="H471" s="3" t="n">
        <v>1999</v>
      </c>
      <c r="I471" s="3" t="n">
        <f aca="false">G471*H471</f>
        <v>5997</v>
      </c>
    </row>
    <row r="472" customFormat="false" ht="15" hidden="false" customHeight="false" outlineLevel="0" collapsed="false">
      <c r="A472" s="3" t="s">
        <v>155</v>
      </c>
      <c r="B472" s="3" t="s">
        <v>1248</v>
      </c>
      <c r="C472" s="3" t="s">
        <v>21</v>
      </c>
      <c r="D472" s="3" t="s">
        <v>22</v>
      </c>
      <c r="E472" s="3" t="s">
        <v>41</v>
      </c>
      <c r="F472" s="3" t="s">
        <v>28</v>
      </c>
      <c r="G472" s="3" t="n">
        <v>6</v>
      </c>
      <c r="H472" s="3" t="n">
        <v>699</v>
      </c>
      <c r="I472" s="3" t="n">
        <f aca="false">G472*H472</f>
        <v>4194</v>
      </c>
    </row>
    <row r="473" customFormat="false" ht="15" hidden="false" customHeight="false" outlineLevel="0" collapsed="false">
      <c r="A473" s="3" t="s">
        <v>485</v>
      </c>
      <c r="B473" s="3" t="s">
        <v>1249</v>
      </c>
      <c r="C473" s="3" t="s">
        <v>21</v>
      </c>
      <c r="D473" s="3" t="s">
        <v>22</v>
      </c>
      <c r="E473" s="3" t="s">
        <v>13</v>
      </c>
      <c r="F473" s="3" t="s">
        <v>42</v>
      </c>
      <c r="G473" s="3" t="n">
        <v>4</v>
      </c>
      <c r="H473" s="3" t="n">
        <v>699</v>
      </c>
      <c r="I473" s="3" t="n">
        <f aca="false">G473*H473</f>
        <v>2796</v>
      </c>
    </row>
    <row r="474" customFormat="false" ht="15" hidden="false" customHeight="false" outlineLevel="0" collapsed="false">
      <c r="A474" s="3" t="s">
        <v>486</v>
      </c>
      <c r="B474" s="3" t="s">
        <v>1249</v>
      </c>
      <c r="C474" s="3" t="s">
        <v>31</v>
      </c>
      <c r="D474" s="3" t="s">
        <v>32</v>
      </c>
      <c r="E474" s="3" t="s">
        <v>41</v>
      </c>
      <c r="F474" s="3" t="s">
        <v>28</v>
      </c>
      <c r="G474" s="3" t="n">
        <v>4</v>
      </c>
      <c r="H474" s="3" t="n">
        <v>1499</v>
      </c>
      <c r="I474" s="3" t="n">
        <f aca="false">G474*H474</f>
        <v>5996</v>
      </c>
    </row>
    <row r="475" customFormat="false" ht="15" hidden="false" customHeight="false" outlineLevel="0" collapsed="false">
      <c r="A475" s="3" t="s">
        <v>414</v>
      </c>
      <c r="B475" s="3" t="s">
        <v>1249</v>
      </c>
      <c r="C475" s="3" t="s">
        <v>31</v>
      </c>
      <c r="D475" s="3" t="s">
        <v>32</v>
      </c>
      <c r="E475" s="3" t="s">
        <v>13</v>
      </c>
      <c r="F475" s="3" t="s">
        <v>24</v>
      </c>
      <c r="G475" s="3" t="n">
        <v>2</v>
      </c>
      <c r="H475" s="3" t="n">
        <v>1499</v>
      </c>
      <c r="I475" s="3" t="n">
        <f aca="false">G475*H475</f>
        <v>2998</v>
      </c>
    </row>
    <row r="476" customFormat="false" ht="15" hidden="false" customHeight="false" outlineLevel="0" collapsed="false">
      <c r="A476" s="3" t="s">
        <v>668</v>
      </c>
      <c r="B476" s="3" t="s">
        <v>1249</v>
      </c>
      <c r="C476" s="3" t="s">
        <v>55</v>
      </c>
      <c r="D476" s="3" t="s">
        <v>12</v>
      </c>
      <c r="E476" s="3" t="s">
        <v>41</v>
      </c>
      <c r="F476" s="3" t="s">
        <v>35</v>
      </c>
      <c r="G476" s="3" t="n">
        <v>14</v>
      </c>
      <c r="H476" s="3" t="n">
        <v>299</v>
      </c>
      <c r="I476" s="3" t="n">
        <f aca="false">G476*H476</f>
        <v>4186</v>
      </c>
    </row>
    <row r="477" customFormat="false" ht="15" hidden="false" customHeight="false" outlineLevel="0" collapsed="false">
      <c r="A477" s="3" t="s">
        <v>61</v>
      </c>
      <c r="B477" s="3" t="s">
        <v>1250</v>
      </c>
      <c r="C477" s="3" t="s">
        <v>55</v>
      </c>
      <c r="D477" s="3" t="s">
        <v>12</v>
      </c>
      <c r="E477" s="3" t="s">
        <v>41</v>
      </c>
      <c r="F477" s="3" t="s">
        <v>24</v>
      </c>
      <c r="G477" s="3" t="n">
        <v>12</v>
      </c>
      <c r="H477" s="3" t="n">
        <v>299</v>
      </c>
      <c r="I477" s="3" t="n">
        <f aca="false">G477*H477</f>
        <v>3588</v>
      </c>
    </row>
    <row r="478" customFormat="false" ht="15" hidden="false" customHeight="false" outlineLevel="0" collapsed="false">
      <c r="A478" s="3" t="s">
        <v>902</v>
      </c>
      <c r="B478" s="3" t="s">
        <v>1250</v>
      </c>
      <c r="C478" s="3" t="s">
        <v>93</v>
      </c>
      <c r="D478" s="3" t="s">
        <v>12</v>
      </c>
      <c r="E478" s="3" t="s">
        <v>56</v>
      </c>
      <c r="F478" s="3" t="s">
        <v>24</v>
      </c>
      <c r="G478" s="3" t="n">
        <v>4</v>
      </c>
      <c r="H478" s="3" t="n">
        <v>1299</v>
      </c>
      <c r="I478" s="3" t="n">
        <f aca="false">G478*H478</f>
        <v>5196</v>
      </c>
    </row>
    <row r="479" customFormat="false" ht="15" hidden="false" customHeight="false" outlineLevel="0" collapsed="false">
      <c r="A479" s="3" t="s">
        <v>837</v>
      </c>
      <c r="B479" s="3" t="s">
        <v>1250</v>
      </c>
      <c r="C479" s="3" t="s">
        <v>93</v>
      </c>
      <c r="D479" s="3" t="s">
        <v>12</v>
      </c>
      <c r="E479" s="3" t="s">
        <v>23</v>
      </c>
      <c r="F479" s="3" t="s">
        <v>24</v>
      </c>
      <c r="G479" s="3" t="n">
        <v>11</v>
      </c>
      <c r="H479" s="3" t="n">
        <v>1299</v>
      </c>
      <c r="I479" s="3" t="n">
        <f aca="false">G479*H479</f>
        <v>14289</v>
      </c>
    </row>
    <row r="480" customFormat="false" ht="15" hidden="false" customHeight="false" outlineLevel="0" collapsed="false">
      <c r="A480" s="3" t="s">
        <v>989</v>
      </c>
      <c r="B480" s="3" t="s">
        <v>1251</v>
      </c>
      <c r="C480" s="3" t="s">
        <v>45</v>
      </c>
      <c r="D480" s="3" t="s">
        <v>12</v>
      </c>
      <c r="E480" s="3" t="s">
        <v>56</v>
      </c>
      <c r="F480" s="3" t="s">
        <v>18</v>
      </c>
      <c r="G480" s="3" t="n">
        <v>10</v>
      </c>
      <c r="H480" s="3" t="n">
        <v>499</v>
      </c>
      <c r="I480" s="3" t="n">
        <f aca="false">G480*H480</f>
        <v>4990</v>
      </c>
    </row>
    <row r="481" customFormat="false" ht="15" hidden="false" customHeight="false" outlineLevel="0" collapsed="false">
      <c r="A481" s="3" t="s">
        <v>122</v>
      </c>
      <c r="B481" s="3" t="s">
        <v>1251</v>
      </c>
      <c r="C481" s="3" t="s">
        <v>105</v>
      </c>
      <c r="D481" s="3" t="s">
        <v>32</v>
      </c>
      <c r="E481" s="3" t="s">
        <v>13</v>
      </c>
      <c r="F481" s="3" t="s">
        <v>28</v>
      </c>
      <c r="G481" s="3" t="n">
        <v>1</v>
      </c>
      <c r="H481" s="3" t="n">
        <v>1799</v>
      </c>
      <c r="I481" s="3" t="n">
        <f aca="false">G481*H481</f>
        <v>1799</v>
      </c>
    </row>
    <row r="482" customFormat="false" ht="15" hidden="false" customHeight="false" outlineLevel="0" collapsed="false">
      <c r="A482" s="3" t="s">
        <v>724</v>
      </c>
      <c r="B482" s="3" t="s">
        <v>1251</v>
      </c>
      <c r="C482" s="3" t="s">
        <v>21</v>
      </c>
      <c r="D482" s="3" t="s">
        <v>22</v>
      </c>
      <c r="E482" s="3" t="s">
        <v>41</v>
      </c>
      <c r="F482" s="3" t="s">
        <v>42</v>
      </c>
      <c r="G482" s="3" t="n">
        <v>8</v>
      </c>
      <c r="H482" s="3" t="n">
        <v>699</v>
      </c>
      <c r="I482" s="3" t="n">
        <f aca="false">G482*H482</f>
        <v>5592</v>
      </c>
    </row>
    <row r="483" customFormat="false" ht="15" hidden="false" customHeight="false" outlineLevel="0" collapsed="false">
      <c r="A483" s="3" t="s">
        <v>619</v>
      </c>
      <c r="B483" s="3" t="s">
        <v>1252</v>
      </c>
      <c r="C483" s="3" t="s">
        <v>105</v>
      </c>
      <c r="D483" s="3" t="s">
        <v>32</v>
      </c>
      <c r="E483" s="3" t="s">
        <v>56</v>
      </c>
      <c r="F483" s="3" t="s">
        <v>42</v>
      </c>
      <c r="G483" s="3" t="n">
        <v>12</v>
      </c>
      <c r="H483" s="3" t="n">
        <v>1799</v>
      </c>
      <c r="I483" s="3" t="n">
        <f aca="false">G483*H483</f>
        <v>21588</v>
      </c>
    </row>
    <row r="484" customFormat="false" ht="15" hidden="false" customHeight="false" outlineLevel="0" collapsed="false">
      <c r="A484" s="3" t="s">
        <v>211</v>
      </c>
      <c r="B484" s="3" t="s">
        <v>1253</v>
      </c>
      <c r="C484" s="3" t="s">
        <v>21</v>
      </c>
      <c r="D484" s="3" t="s">
        <v>22</v>
      </c>
      <c r="E484" s="3" t="s">
        <v>23</v>
      </c>
      <c r="F484" s="3" t="s">
        <v>28</v>
      </c>
      <c r="G484" s="3" t="n">
        <v>2</v>
      </c>
      <c r="H484" s="3" t="n">
        <v>699</v>
      </c>
      <c r="I484" s="3" t="n">
        <f aca="false">G484*H484</f>
        <v>1398</v>
      </c>
    </row>
    <row r="485" customFormat="false" ht="15" hidden="false" customHeight="false" outlineLevel="0" collapsed="false">
      <c r="A485" s="3" t="s">
        <v>707</v>
      </c>
      <c r="B485" s="3" t="s">
        <v>1253</v>
      </c>
      <c r="C485" s="3" t="s">
        <v>45</v>
      </c>
      <c r="D485" s="3" t="s">
        <v>12</v>
      </c>
      <c r="E485" s="3" t="s">
        <v>23</v>
      </c>
      <c r="F485" s="3" t="s">
        <v>35</v>
      </c>
      <c r="G485" s="3" t="n">
        <v>6</v>
      </c>
      <c r="H485" s="3" t="n">
        <v>499</v>
      </c>
      <c r="I485" s="3" t="n">
        <f aca="false">G485*H485</f>
        <v>2994</v>
      </c>
    </row>
    <row r="486" customFormat="false" ht="15" hidden="false" customHeight="false" outlineLevel="0" collapsed="false">
      <c r="A486" s="3" t="s">
        <v>931</v>
      </c>
      <c r="B486" s="3" t="s">
        <v>1253</v>
      </c>
      <c r="C486" s="3" t="s">
        <v>27</v>
      </c>
      <c r="D486" s="3" t="s">
        <v>22</v>
      </c>
      <c r="E486" s="3" t="s">
        <v>41</v>
      </c>
      <c r="F486" s="3" t="s">
        <v>18</v>
      </c>
      <c r="G486" s="3" t="n">
        <v>12</v>
      </c>
      <c r="H486" s="3" t="n">
        <v>899</v>
      </c>
      <c r="I486" s="3" t="n">
        <f aca="false">G486*H486</f>
        <v>10788</v>
      </c>
    </row>
    <row r="487" customFormat="false" ht="15" hidden="false" customHeight="false" outlineLevel="0" collapsed="false">
      <c r="A487" s="3" t="s">
        <v>994</v>
      </c>
      <c r="B487" s="3" t="s">
        <v>1254</v>
      </c>
      <c r="C487" s="3" t="s">
        <v>45</v>
      </c>
      <c r="D487" s="3" t="s">
        <v>12</v>
      </c>
      <c r="E487" s="3" t="s">
        <v>41</v>
      </c>
      <c r="F487" s="3" t="s">
        <v>42</v>
      </c>
      <c r="G487" s="3" t="n">
        <v>13</v>
      </c>
      <c r="H487" s="3" t="n">
        <v>499</v>
      </c>
      <c r="I487" s="3" t="n">
        <f aca="false">G487*H487</f>
        <v>6487</v>
      </c>
    </row>
    <row r="488" customFormat="false" ht="15" hidden="false" customHeight="false" outlineLevel="0" collapsed="false">
      <c r="A488" s="3" t="s">
        <v>318</v>
      </c>
      <c r="B488" s="3" t="s">
        <v>1255</v>
      </c>
      <c r="C488" s="3" t="s">
        <v>93</v>
      </c>
      <c r="D488" s="3" t="s">
        <v>12</v>
      </c>
      <c r="E488" s="3" t="s">
        <v>56</v>
      </c>
      <c r="F488" s="3" t="s">
        <v>42</v>
      </c>
      <c r="G488" s="3" t="n">
        <v>4</v>
      </c>
      <c r="H488" s="3" t="n">
        <v>1299</v>
      </c>
      <c r="I488" s="3" t="n">
        <f aca="false">G488*H488</f>
        <v>5196</v>
      </c>
    </row>
    <row r="489" customFormat="false" ht="15" hidden="false" customHeight="false" outlineLevel="0" collapsed="false">
      <c r="A489" s="3" t="s">
        <v>541</v>
      </c>
      <c r="B489" s="3" t="s">
        <v>1256</v>
      </c>
      <c r="C489" s="3" t="s">
        <v>55</v>
      </c>
      <c r="D489" s="3" t="s">
        <v>12</v>
      </c>
      <c r="E489" s="3" t="s">
        <v>56</v>
      </c>
      <c r="F489" s="3" t="s">
        <v>24</v>
      </c>
      <c r="G489" s="3" t="n">
        <v>14</v>
      </c>
      <c r="H489" s="3" t="n">
        <v>299</v>
      </c>
      <c r="I489" s="3" t="n">
        <f aca="false">G489*H489</f>
        <v>4186</v>
      </c>
    </row>
    <row r="490" customFormat="false" ht="15" hidden="false" customHeight="false" outlineLevel="0" collapsed="false">
      <c r="A490" s="3" t="s">
        <v>396</v>
      </c>
      <c r="B490" s="3" t="s">
        <v>1256</v>
      </c>
      <c r="C490" s="3" t="s">
        <v>45</v>
      </c>
      <c r="D490" s="3" t="s">
        <v>12</v>
      </c>
      <c r="E490" s="3" t="s">
        <v>13</v>
      </c>
      <c r="F490" s="3" t="s">
        <v>18</v>
      </c>
      <c r="G490" s="3" t="n">
        <v>13</v>
      </c>
      <c r="H490" s="3" t="n">
        <v>499</v>
      </c>
      <c r="I490" s="3" t="n">
        <f aca="false">G490*H490</f>
        <v>6487</v>
      </c>
    </row>
    <row r="491" customFormat="false" ht="15" hidden="false" customHeight="false" outlineLevel="0" collapsed="false">
      <c r="A491" s="3" t="s">
        <v>221</v>
      </c>
      <c r="B491" s="3" t="s">
        <v>1256</v>
      </c>
      <c r="C491" s="3" t="s">
        <v>21</v>
      </c>
      <c r="D491" s="3" t="s">
        <v>22</v>
      </c>
      <c r="E491" s="3" t="s">
        <v>23</v>
      </c>
      <c r="F491" s="3" t="s">
        <v>35</v>
      </c>
      <c r="G491" s="3" t="n">
        <v>10</v>
      </c>
      <c r="H491" s="3" t="n">
        <v>699</v>
      </c>
      <c r="I491" s="3" t="n">
        <f aca="false">G491*H491</f>
        <v>6990</v>
      </c>
    </row>
    <row r="492" customFormat="false" ht="15" hidden="false" customHeight="false" outlineLevel="0" collapsed="false">
      <c r="A492" s="3" t="s">
        <v>69</v>
      </c>
      <c r="B492" s="3" t="s">
        <v>1257</v>
      </c>
      <c r="C492" s="3" t="s">
        <v>16</v>
      </c>
      <c r="D492" s="3" t="s">
        <v>12</v>
      </c>
      <c r="E492" s="3" t="s">
        <v>13</v>
      </c>
      <c r="F492" s="3" t="s">
        <v>28</v>
      </c>
      <c r="G492" s="3" t="n">
        <v>6</v>
      </c>
      <c r="H492" s="3" t="n">
        <v>2499</v>
      </c>
      <c r="I492" s="3" t="n">
        <f aca="false">G492*H492</f>
        <v>14994</v>
      </c>
    </row>
    <row r="493" customFormat="false" ht="15" hidden="false" customHeight="false" outlineLevel="0" collapsed="false">
      <c r="A493" s="3" t="s">
        <v>911</v>
      </c>
      <c r="B493" s="3" t="s">
        <v>1257</v>
      </c>
      <c r="C493" s="3" t="s">
        <v>16</v>
      </c>
      <c r="D493" s="3" t="s">
        <v>12</v>
      </c>
      <c r="E493" s="3" t="s">
        <v>56</v>
      </c>
      <c r="F493" s="3" t="s">
        <v>24</v>
      </c>
      <c r="G493" s="3" t="n">
        <v>2</v>
      </c>
      <c r="H493" s="3" t="n">
        <v>2499</v>
      </c>
      <c r="I493" s="3" t="n">
        <f aca="false">G493*H493</f>
        <v>4998</v>
      </c>
    </row>
    <row r="494" customFormat="false" ht="15" hidden="false" customHeight="false" outlineLevel="0" collapsed="false">
      <c r="A494" s="3" t="s">
        <v>429</v>
      </c>
      <c r="B494" s="3" t="s">
        <v>1258</v>
      </c>
      <c r="C494" s="3" t="s">
        <v>38</v>
      </c>
      <c r="D494" s="3" t="s">
        <v>32</v>
      </c>
      <c r="E494" s="3" t="s">
        <v>23</v>
      </c>
      <c r="F494" s="3" t="s">
        <v>28</v>
      </c>
      <c r="G494" s="3" t="n">
        <v>7</v>
      </c>
      <c r="H494" s="3" t="n">
        <v>1999</v>
      </c>
      <c r="I494" s="3" t="n">
        <f aca="false">G494*H494</f>
        <v>13993</v>
      </c>
    </row>
    <row r="495" customFormat="false" ht="15" hidden="false" customHeight="false" outlineLevel="0" collapsed="false">
      <c r="A495" s="3" t="s">
        <v>922</v>
      </c>
      <c r="B495" s="3" t="s">
        <v>1259</v>
      </c>
      <c r="C495" s="3" t="s">
        <v>16</v>
      </c>
      <c r="D495" s="3" t="s">
        <v>12</v>
      </c>
      <c r="E495" s="3" t="s">
        <v>56</v>
      </c>
      <c r="F495" s="3" t="s">
        <v>42</v>
      </c>
      <c r="G495" s="3" t="n">
        <v>4</v>
      </c>
      <c r="H495" s="3" t="n">
        <v>2499</v>
      </c>
      <c r="I495" s="3" t="n">
        <f aca="false">G495*H495</f>
        <v>9996</v>
      </c>
    </row>
    <row r="496" customFormat="false" ht="15" hidden="false" customHeight="false" outlineLevel="0" collapsed="false">
      <c r="A496" s="3" t="s">
        <v>567</v>
      </c>
      <c r="B496" s="3" t="s">
        <v>1260</v>
      </c>
      <c r="C496" s="3" t="s">
        <v>45</v>
      </c>
      <c r="D496" s="3" t="s">
        <v>12</v>
      </c>
      <c r="E496" s="3" t="s">
        <v>41</v>
      </c>
      <c r="F496" s="3" t="s">
        <v>35</v>
      </c>
      <c r="G496" s="3" t="n">
        <v>14</v>
      </c>
      <c r="H496" s="3" t="n">
        <v>499</v>
      </c>
      <c r="I496" s="3" t="n">
        <f aca="false">G496*H496</f>
        <v>6986</v>
      </c>
    </row>
    <row r="497" customFormat="false" ht="15" hidden="false" customHeight="false" outlineLevel="0" collapsed="false">
      <c r="A497" s="3" t="s">
        <v>347</v>
      </c>
      <c r="B497" s="3" t="s">
        <v>1261</v>
      </c>
      <c r="C497" s="3" t="s">
        <v>55</v>
      </c>
      <c r="D497" s="3" t="s">
        <v>12</v>
      </c>
      <c r="E497" s="3" t="s">
        <v>56</v>
      </c>
      <c r="F497" s="3" t="s">
        <v>28</v>
      </c>
      <c r="G497" s="3" t="n">
        <v>4</v>
      </c>
      <c r="H497" s="3" t="n">
        <v>299</v>
      </c>
      <c r="I497" s="3" t="n">
        <f aca="false">G497*H497</f>
        <v>1196</v>
      </c>
    </row>
    <row r="498" customFormat="false" ht="15" hidden="false" customHeight="false" outlineLevel="0" collapsed="false">
      <c r="A498" s="3" t="s">
        <v>650</v>
      </c>
      <c r="B498" s="3" t="s">
        <v>1261</v>
      </c>
      <c r="C498" s="3" t="s">
        <v>75</v>
      </c>
      <c r="D498" s="3" t="s">
        <v>32</v>
      </c>
      <c r="E498" s="3" t="s">
        <v>56</v>
      </c>
      <c r="F498" s="3" t="s">
        <v>24</v>
      </c>
      <c r="G498" s="3" t="n">
        <v>6</v>
      </c>
      <c r="H498" s="3" t="n">
        <v>8999</v>
      </c>
      <c r="I498" s="3" t="n">
        <f aca="false">G498*H498</f>
        <v>53994</v>
      </c>
    </row>
    <row r="499" customFormat="false" ht="15" hidden="false" customHeight="false" outlineLevel="0" collapsed="false">
      <c r="A499" s="3" t="s">
        <v>915</v>
      </c>
      <c r="B499" s="3" t="s">
        <v>1262</v>
      </c>
      <c r="C499" s="3" t="s">
        <v>31</v>
      </c>
      <c r="D499" s="3" t="s">
        <v>32</v>
      </c>
      <c r="E499" s="3" t="s">
        <v>13</v>
      </c>
      <c r="F499" s="3" t="s">
        <v>35</v>
      </c>
      <c r="G499" s="3" t="n">
        <v>10</v>
      </c>
      <c r="H499" s="3" t="n">
        <v>1499</v>
      </c>
      <c r="I499" s="3" t="n">
        <f aca="false">G499*H499</f>
        <v>14990</v>
      </c>
    </row>
    <row r="500" customFormat="false" ht="15" hidden="false" customHeight="false" outlineLevel="0" collapsed="false">
      <c r="A500" s="3" t="s">
        <v>1000</v>
      </c>
      <c r="B500" s="3" t="s">
        <v>1263</v>
      </c>
      <c r="C500" s="3" t="s">
        <v>38</v>
      </c>
      <c r="D500" s="3" t="s">
        <v>32</v>
      </c>
      <c r="E500" s="3" t="s">
        <v>23</v>
      </c>
      <c r="F500" s="3" t="s">
        <v>28</v>
      </c>
      <c r="G500" s="3" t="n">
        <v>14</v>
      </c>
      <c r="H500" s="3" t="n">
        <v>1999</v>
      </c>
      <c r="I500" s="3" t="n">
        <f aca="false">G500*H500</f>
        <v>27986</v>
      </c>
    </row>
    <row r="501" customFormat="false" ht="15" hidden="false" customHeight="false" outlineLevel="0" collapsed="false">
      <c r="A501" s="3" t="s">
        <v>250</v>
      </c>
      <c r="B501" s="3" t="s">
        <v>1263</v>
      </c>
      <c r="C501" s="3" t="s">
        <v>93</v>
      </c>
      <c r="D501" s="3" t="s">
        <v>12</v>
      </c>
      <c r="E501" s="3" t="s">
        <v>23</v>
      </c>
      <c r="F501" s="3" t="s">
        <v>42</v>
      </c>
      <c r="G501" s="3" t="n">
        <v>4</v>
      </c>
      <c r="H501" s="3" t="n">
        <v>1299</v>
      </c>
      <c r="I501" s="3" t="n">
        <f aca="false">G501*H501</f>
        <v>5196</v>
      </c>
    </row>
    <row r="502" customFormat="false" ht="15" hidden="false" customHeight="false" outlineLevel="0" collapsed="false">
      <c r="A502" s="3" t="s">
        <v>294</v>
      </c>
      <c r="B502" s="3" t="s">
        <v>1264</v>
      </c>
      <c r="C502" s="3" t="s">
        <v>31</v>
      </c>
      <c r="D502" s="3" t="s">
        <v>32</v>
      </c>
      <c r="E502" s="3" t="s">
        <v>41</v>
      </c>
      <c r="F502" s="3" t="s">
        <v>42</v>
      </c>
      <c r="G502" s="3" t="n">
        <v>3</v>
      </c>
      <c r="H502" s="3" t="n">
        <v>1499</v>
      </c>
      <c r="I502" s="3" t="n">
        <f aca="false">G502*H502</f>
        <v>4497</v>
      </c>
    </row>
    <row r="503" customFormat="false" ht="15" hidden="false" customHeight="false" outlineLevel="0" collapsed="false">
      <c r="A503" s="3" t="s">
        <v>107</v>
      </c>
      <c r="B503" s="3" t="s">
        <v>1265</v>
      </c>
      <c r="C503" s="3" t="s">
        <v>27</v>
      </c>
      <c r="D503" s="3" t="s">
        <v>22</v>
      </c>
      <c r="E503" s="3" t="s">
        <v>56</v>
      </c>
      <c r="F503" s="3" t="s">
        <v>35</v>
      </c>
      <c r="G503" s="3" t="n">
        <v>12</v>
      </c>
      <c r="H503" s="3" t="n">
        <v>899</v>
      </c>
      <c r="I503" s="3" t="n">
        <f aca="false">G503*H503</f>
        <v>10788</v>
      </c>
    </row>
    <row r="504" customFormat="false" ht="15" hidden="false" customHeight="false" outlineLevel="0" collapsed="false">
      <c r="A504" s="3" t="s">
        <v>33</v>
      </c>
      <c r="B504" s="3" t="s">
        <v>1266</v>
      </c>
      <c r="C504" s="3" t="s">
        <v>27</v>
      </c>
      <c r="D504" s="3" t="s">
        <v>22</v>
      </c>
      <c r="E504" s="3" t="s">
        <v>23</v>
      </c>
      <c r="F504" s="3" t="s">
        <v>35</v>
      </c>
      <c r="G504" s="3" t="n">
        <v>13</v>
      </c>
      <c r="H504" s="3" t="n">
        <v>899</v>
      </c>
      <c r="I504" s="3" t="n">
        <f aca="false">G504*H504</f>
        <v>11687</v>
      </c>
    </row>
    <row r="505" customFormat="false" ht="15" hidden="false" customHeight="false" outlineLevel="0" collapsed="false">
      <c r="A505" s="3" t="s">
        <v>783</v>
      </c>
      <c r="B505" s="3" t="s">
        <v>1266</v>
      </c>
      <c r="C505" s="3" t="s">
        <v>105</v>
      </c>
      <c r="D505" s="3" t="s">
        <v>32</v>
      </c>
      <c r="E505" s="3" t="s">
        <v>41</v>
      </c>
      <c r="F505" s="3" t="s">
        <v>35</v>
      </c>
      <c r="G505" s="3" t="n">
        <v>12</v>
      </c>
      <c r="H505" s="3" t="n">
        <v>1799</v>
      </c>
      <c r="I505" s="3" t="n">
        <f aca="false">G505*H505</f>
        <v>21588</v>
      </c>
    </row>
    <row r="506" customFormat="false" ht="15" hidden="false" customHeight="false" outlineLevel="0" collapsed="false">
      <c r="A506" s="3" t="s">
        <v>374</v>
      </c>
      <c r="B506" s="3" t="s">
        <v>1266</v>
      </c>
      <c r="C506" s="3" t="s">
        <v>105</v>
      </c>
      <c r="D506" s="3" t="s">
        <v>32</v>
      </c>
      <c r="E506" s="3" t="s">
        <v>41</v>
      </c>
      <c r="F506" s="3" t="s">
        <v>24</v>
      </c>
      <c r="G506" s="3" t="n">
        <v>14</v>
      </c>
      <c r="H506" s="3" t="n">
        <v>1799</v>
      </c>
      <c r="I506" s="3" t="n">
        <f aca="false">G506*H506</f>
        <v>25186</v>
      </c>
    </row>
    <row r="507" customFormat="false" ht="15" hidden="false" customHeight="false" outlineLevel="0" collapsed="false">
      <c r="A507" s="3" t="s">
        <v>256</v>
      </c>
      <c r="B507" s="3" t="s">
        <v>1267</v>
      </c>
      <c r="C507" s="3" t="s">
        <v>16</v>
      </c>
      <c r="D507" s="3" t="s">
        <v>12</v>
      </c>
      <c r="E507" s="3" t="s">
        <v>13</v>
      </c>
      <c r="F507" s="3" t="s">
        <v>24</v>
      </c>
      <c r="G507" s="3" t="n">
        <v>2</v>
      </c>
      <c r="H507" s="3" t="n">
        <v>2499</v>
      </c>
      <c r="I507" s="3" t="n">
        <f aca="false">G507*H507</f>
        <v>4998</v>
      </c>
    </row>
    <row r="508" customFormat="false" ht="15" hidden="false" customHeight="false" outlineLevel="0" collapsed="false">
      <c r="A508" s="3" t="s">
        <v>145</v>
      </c>
      <c r="B508" s="3" t="s">
        <v>1268</v>
      </c>
      <c r="C508" s="3" t="s">
        <v>93</v>
      </c>
      <c r="D508" s="3" t="s">
        <v>12</v>
      </c>
      <c r="E508" s="3" t="s">
        <v>56</v>
      </c>
      <c r="F508" s="3" t="s">
        <v>18</v>
      </c>
      <c r="G508" s="3" t="n">
        <v>8</v>
      </c>
      <c r="H508" s="3" t="n">
        <v>1299</v>
      </c>
      <c r="I508" s="3" t="n">
        <f aca="false">G508*H508</f>
        <v>10392</v>
      </c>
    </row>
    <row r="509" customFormat="false" ht="15" hidden="false" customHeight="false" outlineLevel="0" collapsed="false">
      <c r="A509" s="3" t="s">
        <v>968</v>
      </c>
      <c r="B509" s="3" t="s">
        <v>1268</v>
      </c>
      <c r="C509" s="3" t="s">
        <v>27</v>
      </c>
      <c r="D509" s="3" t="s">
        <v>22</v>
      </c>
      <c r="E509" s="3" t="s">
        <v>23</v>
      </c>
      <c r="F509" s="3" t="s">
        <v>18</v>
      </c>
      <c r="G509" s="3" t="n">
        <v>1</v>
      </c>
      <c r="H509" s="3" t="n">
        <v>899</v>
      </c>
      <c r="I509" s="3" t="n">
        <f aca="false">G509*H509</f>
        <v>899</v>
      </c>
    </row>
    <row r="510" customFormat="false" ht="15" hidden="false" customHeight="false" outlineLevel="0" collapsed="false">
      <c r="A510" s="3" t="s">
        <v>324</v>
      </c>
      <c r="B510" s="3" t="s">
        <v>1269</v>
      </c>
      <c r="C510" s="3" t="s">
        <v>93</v>
      </c>
      <c r="D510" s="3" t="s">
        <v>12</v>
      </c>
      <c r="E510" s="3" t="s">
        <v>23</v>
      </c>
      <c r="F510" s="3" t="s">
        <v>42</v>
      </c>
      <c r="G510" s="3" t="n">
        <v>13</v>
      </c>
      <c r="H510" s="3" t="n">
        <v>1299</v>
      </c>
      <c r="I510" s="3" t="n">
        <f aca="false">G510*H510</f>
        <v>16887</v>
      </c>
    </row>
    <row r="511" customFormat="false" ht="15" hidden="false" customHeight="false" outlineLevel="0" collapsed="false">
      <c r="A511" s="3" t="s">
        <v>546</v>
      </c>
      <c r="B511" s="3" t="s">
        <v>1269</v>
      </c>
      <c r="C511" s="3" t="s">
        <v>31</v>
      </c>
      <c r="D511" s="3" t="s">
        <v>32</v>
      </c>
      <c r="E511" s="3" t="s">
        <v>41</v>
      </c>
      <c r="F511" s="3" t="s">
        <v>35</v>
      </c>
      <c r="G511" s="3" t="n">
        <v>10</v>
      </c>
      <c r="H511" s="3" t="n">
        <v>1499</v>
      </c>
      <c r="I511" s="3" t="n">
        <f aca="false">G511*H511</f>
        <v>14990</v>
      </c>
    </row>
    <row r="512" customFormat="false" ht="15" hidden="false" customHeight="false" outlineLevel="0" collapsed="false">
      <c r="A512" s="3" t="s">
        <v>900</v>
      </c>
      <c r="B512" s="3" t="s">
        <v>1270</v>
      </c>
      <c r="C512" s="3" t="s">
        <v>75</v>
      </c>
      <c r="D512" s="3" t="s">
        <v>32</v>
      </c>
      <c r="E512" s="3" t="s">
        <v>41</v>
      </c>
      <c r="F512" s="3" t="s">
        <v>1041</v>
      </c>
      <c r="G512" s="3" t="n">
        <v>13</v>
      </c>
      <c r="H512" s="3" t="n">
        <v>8999</v>
      </c>
      <c r="I512" s="3" t="n">
        <f aca="false">G512*H512</f>
        <v>116987</v>
      </c>
    </row>
    <row r="513" customFormat="false" ht="15" hidden="false" customHeight="false" outlineLevel="0" collapsed="false">
      <c r="A513" s="3" t="s">
        <v>891</v>
      </c>
      <c r="B513" s="3" t="s">
        <v>1271</v>
      </c>
      <c r="C513" s="3" t="s">
        <v>45</v>
      </c>
      <c r="D513" s="3" t="s">
        <v>12</v>
      </c>
      <c r="E513" s="3" t="s">
        <v>23</v>
      </c>
      <c r="F513" s="3" t="s">
        <v>18</v>
      </c>
      <c r="G513" s="3" t="n">
        <v>8</v>
      </c>
      <c r="H513" s="3" t="n">
        <v>499</v>
      </c>
      <c r="I513" s="3" t="n">
        <f aca="false">G513*H513</f>
        <v>3992</v>
      </c>
    </row>
    <row r="514" customFormat="false" ht="15" hidden="false" customHeight="false" outlineLevel="0" collapsed="false">
      <c r="A514" s="3" t="s">
        <v>542</v>
      </c>
      <c r="B514" s="3" t="s">
        <v>1272</v>
      </c>
      <c r="C514" s="3" t="s">
        <v>45</v>
      </c>
      <c r="D514" s="3" t="s">
        <v>12</v>
      </c>
      <c r="E514" s="3" t="s">
        <v>56</v>
      </c>
      <c r="F514" s="3" t="s">
        <v>35</v>
      </c>
      <c r="G514" s="3" t="n">
        <v>6</v>
      </c>
      <c r="H514" s="3" t="n">
        <v>499</v>
      </c>
      <c r="I514" s="3" t="n">
        <f aca="false">G514*H514</f>
        <v>2994</v>
      </c>
    </row>
    <row r="515" customFormat="false" ht="15" hidden="false" customHeight="false" outlineLevel="0" collapsed="false">
      <c r="A515" s="3" t="s">
        <v>608</v>
      </c>
      <c r="B515" s="3" t="s">
        <v>1272</v>
      </c>
      <c r="C515" s="3" t="s">
        <v>38</v>
      </c>
      <c r="D515" s="3" t="s">
        <v>32</v>
      </c>
      <c r="E515" s="3" t="s">
        <v>56</v>
      </c>
      <c r="F515" s="3" t="s">
        <v>24</v>
      </c>
      <c r="G515" s="3" t="n">
        <v>6</v>
      </c>
      <c r="H515" s="3" t="n">
        <v>1999</v>
      </c>
      <c r="I515" s="3" t="n">
        <f aca="false">G515*H515</f>
        <v>11994</v>
      </c>
    </row>
    <row r="516" customFormat="false" ht="15" hidden="false" customHeight="false" outlineLevel="0" collapsed="false">
      <c r="A516" s="3" t="s">
        <v>563</v>
      </c>
      <c r="B516" s="3" t="s">
        <v>1272</v>
      </c>
      <c r="C516" s="3" t="s">
        <v>45</v>
      </c>
      <c r="D516" s="3" t="s">
        <v>12</v>
      </c>
      <c r="E516" s="3" t="s">
        <v>13</v>
      </c>
      <c r="F516" s="3" t="s">
        <v>28</v>
      </c>
      <c r="G516" s="3" t="n">
        <v>8</v>
      </c>
      <c r="H516" s="3" t="n">
        <v>499</v>
      </c>
      <c r="I516" s="3" t="n">
        <f aca="false">G516*H516</f>
        <v>3992</v>
      </c>
    </row>
    <row r="517" customFormat="false" ht="15" hidden="false" customHeight="false" outlineLevel="0" collapsed="false">
      <c r="A517" s="3" t="s">
        <v>379</v>
      </c>
      <c r="B517" s="3" t="s">
        <v>1272</v>
      </c>
      <c r="C517" s="3" t="s">
        <v>27</v>
      </c>
      <c r="D517" s="3" t="s">
        <v>22</v>
      </c>
      <c r="E517" s="3" t="s">
        <v>56</v>
      </c>
      <c r="F517" s="3" t="s">
        <v>35</v>
      </c>
      <c r="G517" s="3" t="n">
        <v>14</v>
      </c>
      <c r="H517" s="3" t="n">
        <v>899</v>
      </c>
      <c r="I517" s="3" t="n">
        <f aca="false">G517*H517</f>
        <v>12586</v>
      </c>
    </row>
    <row r="518" customFormat="false" ht="15" hidden="false" customHeight="false" outlineLevel="0" collapsed="false">
      <c r="A518" s="3" t="s">
        <v>57</v>
      </c>
      <c r="B518" s="3" t="s">
        <v>1273</v>
      </c>
      <c r="C518" s="3" t="s">
        <v>31</v>
      </c>
      <c r="D518" s="3" t="s">
        <v>32</v>
      </c>
      <c r="E518" s="3" t="s">
        <v>56</v>
      </c>
      <c r="F518" s="3" t="s">
        <v>28</v>
      </c>
      <c r="G518" s="3" t="n">
        <v>12</v>
      </c>
      <c r="H518" s="3" t="n">
        <v>1499</v>
      </c>
      <c r="I518" s="3" t="n">
        <f aca="false">G518*H518</f>
        <v>17988</v>
      </c>
    </row>
    <row r="519" customFormat="false" ht="15" hidden="false" customHeight="false" outlineLevel="0" collapsed="false">
      <c r="A519" s="3" t="s">
        <v>958</v>
      </c>
      <c r="B519" s="3" t="s">
        <v>1274</v>
      </c>
      <c r="C519" s="3" t="s">
        <v>45</v>
      </c>
      <c r="D519" s="3" t="s">
        <v>12</v>
      </c>
      <c r="E519" s="3" t="s">
        <v>56</v>
      </c>
      <c r="F519" s="3" t="s">
        <v>35</v>
      </c>
      <c r="G519" s="3" t="n">
        <v>12</v>
      </c>
      <c r="H519" s="3" t="n">
        <v>499</v>
      </c>
      <c r="I519" s="3" t="n">
        <f aca="false">G519*H519</f>
        <v>5988</v>
      </c>
    </row>
    <row r="520" customFormat="false" ht="15" hidden="false" customHeight="false" outlineLevel="0" collapsed="false">
      <c r="A520" s="3" t="s">
        <v>805</v>
      </c>
      <c r="B520" s="3" t="s">
        <v>1274</v>
      </c>
      <c r="C520" s="3" t="s">
        <v>75</v>
      </c>
      <c r="D520" s="3" t="s">
        <v>32</v>
      </c>
      <c r="E520" s="3" t="s">
        <v>13</v>
      </c>
      <c r="F520" s="3" t="s">
        <v>28</v>
      </c>
      <c r="G520" s="3" t="n">
        <v>8</v>
      </c>
      <c r="H520" s="3" t="n">
        <v>8999</v>
      </c>
      <c r="I520" s="3" t="n">
        <f aca="false">G520*H520</f>
        <v>71992</v>
      </c>
    </row>
    <row r="521" customFormat="false" ht="15" hidden="false" customHeight="false" outlineLevel="0" collapsed="false">
      <c r="A521" s="3" t="s">
        <v>539</v>
      </c>
      <c r="B521" s="3" t="s">
        <v>1275</v>
      </c>
      <c r="C521" s="3" t="s">
        <v>38</v>
      </c>
      <c r="D521" s="3" t="s">
        <v>32</v>
      </c>
      <c r="E521" s="3" t="s">
        <v>23</v>
      </c>
      <c r="F521" s="3" t="s">
        <v>28</v>
      </c>
      <c r="G521" s="3" t="n">
        <v>6</v>
      </c>
      <c r="H521" s="3" t="n">
        <v>1999</v>
      </c>
      <c r="I521" s="3" t="n">
        <f aca="false">G521*H521</f>
        <v>11994</v>
      </c>
    </row>
    <row r="522" customFormat="false" ht="15" hidden="false" customHeight="false" outlineLevel="0" collapsed="false">
      <c r="A522" s="3" t="s">
        <v>529</v>
      </c>
      <c r="B522" s="3" t="s">
        <v>1276</v>
      </c>
      <c r="C522" s="3" t="s">
        <v>55</v>
      </c>
      <c r="D522" s="3" t="s">
        <v>12</v>
      </c>
      <c r="E522" s="3" t="s">
        <v>13</v>
      </c>
      <c r="F522" s="3" t="s">
        <v>35</v>
      </c>
      <c r="G522" s="3" t="n">
        <v>9</v>
      </c>
      <c r="H522" s="3" t="n">
        <v>299</v>
      </c>
      <c r="I522" s="3" t="n">
        <f aca="false">G522*H522</f>
        <v>2691</v>
      </c>
    </row>
    <row r="523" customFormat="false" ht="15" hidden="false" customHeight="false" outlineLevel="0" collapsed="false">
      <c r="A523" s="3" t="s">
        <v>377</v>
      </c>
      <c r="B523" s="3" t="s">
        <v>1277</v>
      </c>
      <c r="C523" s="3" t="s">
        <v>16</v>
      </c>
      <c r="D523" s="3" t="s">
        <v>12</v>
      </c>
      <c r="E523" s="3" t="s">
        <v>23</v>
      </c>
      <c r="F523" s="3" t="s">
        <v>42</v>
      </c>
      <c r="G523" s="3" t="n">
        <v>12</v>
      </c>
      <c r="H523" s="3" t="n">
        <v>2499</v>
      </c>
      <c r="I523" s="3" t="n">
        <f aca="false">G523*H523</f>
        <v>29988</v>
      </c>
    </row>
    <row r="524" customFormat="false" ht="15" hidden="false" customHeight="false" outlineLevel="0" collapsed="false">
      <c r="A524" s="3" t="s">
        <v>845</v>
      </c>
      <c r="B524" s="3" t="s">
        <v>1277</v>
      </c>
      <c r="C524" s="3" t="s">
        <v>21</v>
      </c>
      <c r="D524" s="3" t="s">
        <v>22</v>
      </c>
      <c r="E524" s="3" t="s">
        <v>56</v>
      </c>
      <c r="F524" s="3" t="s">
        <v>42</v>
      </c>
      <c r="G524" s="3" t="n">
        <v>14</v>
      </c>
      <c r="H524" s="3" t="n">
        <v>699</v>
      </c>
      <c r="I524" s="3" t="n">
        <f aca="false">G524*H524</f>
        <v>9786</v>
      </c>
    </row>
    <row r="525" customFormat="false" ht="15" hidden="false" customHeight="false" outlineLevel="0" collapsed="false">
      <c r="A525" s="3" t="s">
        <v>39</v>
      </c>
      <c r="B525" s="3" t="s">
        <v>1278</v>
      </c>
      <c r="C525" s="3" t="s">
        <v>21</v>
      </c>
      <c r="D525" s="3" t="s">
        <v>22</v>
      </c>
      <c r="E525" s="3" t="s">
        <v>41</v>
      </c>
      <c r="F525" s="3" t="s">
        <v>42</v>
      </c>
      <c r="G525" s="3" t="n">
        <v>12</v>
      </c>
      <c r="H525" s="3" t="n">
        <v>699</v>
      </c>
      <c r="I525" s="3" t="n">
        <f aca="false">G525*H525</f>
        <v>8388</v>
      </c>
    </row>
    <row r="526" customFormat="false" ht="15" hidden="false" customHeight="false" outlineLevel="0" collapsed="false">
      <c r="A526" s="3" t="s">
        <v>96</v>
      </c>
      <c r="B526" s="3" t="s">
        <v>1278</v>
      </c>
      <c r="C526" s="3" t="s">
        <v>75</v>
      </c>
      <c r="D526" s="3" t="s">
        <v>32</v>
      </c>
      <c r="E526" s="3" t="s">
        <v>23</v>
      </c>
      <c r="F526" s="3" t="s">
        <v>24</v>
      </c>
      <c r="G526" s="3" t="n">
        <v>11</v>
      </c>
      <c r="H526" s="3" t="n">
        <v>8999</v>
      </c>
      <c r="I526" s="3" t="n">
        <f aca="false">G526*H526</f>
        <v>98989</v>
      </c>
    </row>
    <row r="527" customFormat="false" ht="15" hidden="false" customHeight="false" outlineLevel="0" collapsed="false">
      <c r="A527" s="3" t="s">
        <v>816</v>
      </c>
      <c r="B527" s="3" t="s">
        <v>1278</v>
      </c>
      <c r="C527" s="3" t="s">
        <v>21</v>
      </c>
      <c r="D527" s="3" t="s">
        <v>22</v>
      </c>
      <c r="E527" s="3" t="s">
        <v>13</v>
      </c>
      <c r="F527" s="3" t="s">
        <v>42</v>
      </c>
      <c r="G527" s="3" t="n">
        <v>2</v>
      </c>
      <c r="H527" s="3" t="n">
        <v>699</v>
      </c>
      <c r="I527" s="3" t="n">
        <f aca="false">G527*H527</f>
        <v>1398</v>
      </c>
    </row>
    <row r="528" customFormat="false" ht="15" hidden="false" customHeight="false" outlineLevel="0" collapsed="false">
      <c r="A528" s="3" t="s">
        <v>842</v>
      </c>
      <c r="B528" s="3" t="s">
        <v>1279</v>
      </c>
      <c r="C528" s="3" t="s">
        <v>75</v>
      </c>
      <c r="D528" s="3" t="s">
        <v>32</v>
      </c>
      <c r="E528" s="3" t="s">
        <v>13</v>
      </c>
      <c r="F528" s="3" t="s">
        <v>24</v>
      </c>
      <c r="G528" s="3" t="n">
        <v>8</v>
      </c>
      <c r="H528" s="3" t="n">
        <v>8999</v>
      </c>
      <c r="I528" s="3" t="n">
        <f aca="false">G528*H528</f>
        <v>71992</v>
      </c>
    </row>
    <row r="529" customFormat="false" ht="15" hidden="false" customHeight="false" outlineLevel="0" collapsed="false">
      <c r="A529" s="3" t="s">
        <v>639</v>
      </c>
      <c r="B529" s="3" t="s">
        <v>1279</v>
      </c>
      <c r="C529" s="3" t="s">
        <v>75</v>
      </c>
      <c r="D529" s="3" t="s">
        <v>32</v>
      </c>
      <c r="E529" s="3" t="s">
        <v>56</v>
      </c>
      <c r="F529" s="3" t="s">
        <v>35</v>
      </c>
      <c r="G529" s="3" t="n">
        <v>4</v>
      </c>
      <c r="H529" s="3" t="n">
        <v>8999</v>
      </c>
      <c r="I529" s="3" t="n">
        <f aca="false">G529*H529</f>
        <v>35996</v>
      </c>
    </row>
    <row r="530" customFormat="false" ht="15" hidden="false" customHeight="false" outlineLevel="0" collapsed="false">
      <c r="A530" s="3" t="s">
        <v>808</v>
      </c>
      <c r="B530" s="3" t="s">
        <v>1280</v>
      </c>
      <c r="C530" s="3" t="s">
        <v>31</v>
      </c>
      <c r="D530" s="3" t="s">
        <v>32</v>
      </c>
      <c r="E530" s="3" t="s">
        <v>41</v>
      </c>
      <c r="F530" s="3" t="s">
        <v>42</v>
      </c>
      <c r="G530" s="3" t="n">
        <v>7</v>
      </c>
      <c r="H530" s="3" t="n">
        <v>1499</v>
      </c>
      <c r="I530" s="3" t="n">
        <f aca="false">G530*H530</f>
        <v>10493</v>
      </c>
    </row>
    <row r="531" customFormat="false" ht="15" hidden="false" customHeight="false" outlineLevel="0" collapsed="false">
      <c r="A531" s="3" t="s">
        <v>416</v>
      </c>
      <c r="B531" s="3" t="s">
        <v>1281</v>
      </c>
      <c r="C531" s="3" t="s">
        <v>16</v>
      </c>
      <c r="D531" s="3" t="s">
        <v>12</v>
      </c>
      <c r="E531" s="3" t="s">
        <v>13</v>
      </c>
      <c r="F531" s="3" t="s">
        <v>42</v>
      </c>
      <c r="G531" s="3" t="n">
        <v>9</v>
      </c>
      <c r="H531" s="3" t="n">
        <v>2499</v>
      </c>
      <c r="I531" s="3" t="n">
        <f aca="false">G531*H531</f>
        <v>22491</v>
      </c>
    </row>
    <row r="532" customFormat="false" ht="15" hidden="false" customHeight="false" outlineLevel="0" collapsed="false">
      <c r="A532" s="3" t="s">
        <v>528</v>
      </c>
      <c r="B532" s="3" t="s">
        <v>1282</v>
      </c>
      <c r="C532" s="3" t="s">
        <v>27</v>
      </c>
      <c r="D532" s="3" t="s">
        <v>22</v>
      </c>
      <c r="E532" s="3" t="s">
        <v>56</v>
      </c>
      <c r="F532" s="3" t="s">
        <v>18</v>
      </c>
      <c r="G532" s="3" t="n">
        <v>12</v>
      </c>
      <c r="H532" s="3" t="n">
        <v>899</v>
      </c>
      <c r="I532" s="3" t="n">
        <f aca="false">G532*H532</f>
        <v>10788</v>
      </c>
    </row>
    <row r="533" customFormat="false" ht="15" hidden="false" customHeight="false" outlineLevel="0" collapsed="false">
      <c r="A533" s="3" t="s">
        <v>344</v>
      </c>
      <c r="B533" s="3" t="s">
        <v>1282</v>
      </c>
      <c r="C533" s="3" t="s">
        <v>105</v>
      </c>
      <c r="D533" s="3" t="s">
        <v>32</v>
      </c>
      <c r="E533" s="3" t="s">
        <v>56</v>
      </c>
      <c r="F533" s="3" t="s">
        <v>18</v>
      </c>
      <c r="G533" s="3" t="n">
        <v>4</v>
      </c>
      <c r="H533" s="3" t="n">
        <v>1799</v>
      </c>
      <c r="I533" s="3" t="n">
        <f aca="false">G533*H533</f>
        <v>7196</v>
      </c>
    </row>
    <row r="534" customFormat="false" ht="15" hidden="false" customHeight="false" outlineLevel="0" collapsed="false">
      <c r="A534" s="3" t="s">
        <v>689</v>
      </c>
      <c r="B534" s="3" t="s">
        <v>1283</v>
      </c>
      <c r="C534" s="3" t="s">
        <v>21</v>
      </c>
      <c r="D534" s="3" t="s">
        <v>22</v>
      </c>
      <c r="E534" s="3" t="s">
        <v>41</v>
      </c>
      <c r="F534" s="3" t="s">
        <v>18</v>
      </c>
      <c r="G534" s="3" t="n">
        <v>1</v>
      </c>
      <c r="H534" s="3" t="n">
        <v>699</v>
      </c>
      <c r="I534" s="3" t="n">
        <f aca="false">G534*H534</f>
        <v>699</v>
      </c>
    </row>
    <row r="535" customFormat="false" ht="15" hidden="false" customHeight="false" outlineLevel="0" collapsed="false">
      <c r="A535" s="3" t="s">
        <v>406</v>
      </c>
      <c r="B535" s="3" t="s">
        <v>1283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n">
        <v>12</v>
      </c>
      <c r="H535" s="3" t="n">
        <v>699</v>
      </c>
      <c r="I535" s="3" t="n">
        <f aca="false">G535*H535</f>
        <v>8388</v>
      </c>
    </row>
    <row r="536" customFormat="false" ht="15" hidden="false" customHeight="false" outlineLevel="0" collapsed="false">
      <c r="A536" s="3" t="s">
        <v>879</v>
      </c>
      <c r="B536" s="3" t="s">
        <v>1283</v>
      </c>
      <c r="C536" s="3" t="s">
        <v>45</v>
      </c>
      <c r="D536" s="3" t="s">
        <v>12</v>
      </c>
      <c r="E536" s="3" t="s">
        <v>56</v>
      </c>
      <c r="F536" s="3" t="s">
        <v>35</v>
      </c>
      <c r="G536" s="3" t="n">
        <v>1</v>
      </c>
      <c r="H536" s="3" t="n">
        <v>499</v>
      </c>
      <c r="I536" s="3" t="n">
        <f aca="false">G536*H536</f>
        <v>499</v>
      </c>
    </row>
    <row r="537" customFormat="false" ht="15" hidden="false" customHeight="false" outlineLevel="0" collapsed="false">
      <c r="A537" s="3" t="s">
        <v>888</v>
      </c>
      <c r="B537" s="3" t="s">
        <v>1283</v>
      </c>
      <c r="C537" s="3" t="s">
        <v>45</v>
      </c>
      <c r="D537" s="3" t="s">
        <v>12</v>
      </c>
      <c r="E537" s="3" t="s">
        <v>23</v>
      </c>
      <c r="F537" s="3" t="s">
        <v>42</v>
      </c>
      <c r="G537" s="3" t="n">
        <v>8</v>
      </c>
      <c r="H537" s="3" t="n">
        <v>499</v>
      </c>
      <c r="I537" s="3" t="n">
        <f aca="false">G537*H537</f>
        <v>3992</v>
      </c>
    </row>
    <row r="538" customFormat="false" ht="15" hidden="false" customHeight="false" outlineLevel="0" collapsed="false">
      <c r="A538" s="3" t="s">
        <v>531</v>
      </c>
      <c r="B538" s="3" t="s">
        <v>1283</v>
      </c>
      <c r="C538" s="3" t="s">
        <v>75</v>
      </c>
      <c r="D538" s="3" t="s">
        <v>32</v>
      </c>
      <c r="E538" s="3" t="s">
        <v>41</v>
      </c>
      <c r="F538" s="3" t="s">
        <v>28</v>
      </c>
      <c r="G538" s="3" t="n">
        <v>7</v>
      </c>
      <c r="H538" s="3" t="n">
        <v>8999</v>
      </c>
      <c r="I538" s="3" t="n">
        <f aca="false">G538*H538</f>
        <v>62993</v>
      </c>
    </row>
    <row r="539" customFormat="false" ht="15" hidden="false" customHeight="false" outlineLevel="0" collapsed="false">
      <c r="A539" s="3" t="s">
        <v>663</v>
      </c>
      <c r="B539" s="3" t="s">
        <v>1284</v>
      </c>
      <c r="C539" s="3" t="s">
        <v>75</v>
      </c>
      <c r="D539" s="3" t="s">
        <v>32</v>
      </c>
      <c r="E539" s="3" t="s">
        <v>41</v>
      </c>
      <c r="F539" s="3" t="s">
        <v>42</v>
      </c>
      <c r="G539" s="3" t="n">
        <v>2</v>
      </c>
      <c r="H539" s="3" t="n">
        <v>8999</v>
      </c>
      <c r="I539" s="3" t="n">
        <f aca="false">G539*H539</f>
        <v>17998</v>
      </c>
    </row>
    <row r="540" customFormat="false" ht="15" hidden="false" customHeight="false" outlineLevel="0" collapsed="false">
      <c r="A540" s="3" t="s">
        <v>674</v>
      </c>
      <c r="B540" s="3" t="s">
        <v>1285</v>
      </c>
      <c r="C540" s="3" t="s">
        <v>105</v>
      </c>
      <c r="D540" s="3" t="s">
        <v>32</v>
      </c>
      <c r="E540" s="3" t="s">
        <v>23</v>
      </c>
      <c r="F540" s="3" t="s">
        <v>28</v>
      </c>
      <c r="G540" s="3" t="n">
        <v>10</v>
      </c>
      <c r="H540" s="3" t="n">
        <v>1799</v>
      </c>
      <c r="I540" s="3" t="n">
        <f aca="false">G540*H540</f>
        <v>17990</v>
      </c>
    </row>
    <row r="541" customFormat="false" ht="15" hidden="false" customHeight="false" outlineLevel="0" collapsed="false">
      <c r="A541" s="3" t="s">
        <v>830</v>
      </c>
      <c r="B541" s="3" t="s">
        <v>1286</v>
      </c>
      <c r="C541" s="3" t="s">
        <v>16</v>
      </c>
      <c r="D541" s="3" t="s">
        <v>12</v>
      </c>
      <c r="E541" s="3" t="s">
        <v>56</v>
      </c>
      <c r="F541" s="3" t="s">
        <v>35</v>
      </c>
      <c r="G541" s="3" t="n">
        <v>6</v>
      </c>
      <c r="H541" s="3" t="n">
        <v>2499</v>
      </c>
      <c r="I541" s="3" t="n">
        <f aca="false">G541*H541</f>
        <v>14994</v>
      </c>
    </row>
    <row r="542" customFormat="false" ht="15" hidden="false" customHeight="false" outlineLevel="0" collapsed="false">
      <c r="A542" s="3" t="s">
        <v>712</v>
      </c>
      <c r="B542" s="3" t="s">
        <v>1286</v>
      </c>
      <c r="C542" s="3" t="s">
        <v>93</v>
      </c>
      <c r="D542" s="3" t="s">
        <v>12</v>
      </c>
      <c r="E542" s="3" t="s">
        <v>13</v>
      </c>
      <c r="F542" s="3" t="s">
        <v>18</v>
      </c>
      <c r="G542" s="3" t="n">
        <v>9</v>
      </c>
      <c r="H542" s="3" t="n">
        <v>1299</v>
      </c>
      <c r="I542" s="3" t="n">
        <f aca="false">G542*H542</f>
        <v>11691</v>
      </c>
    </row>
    <row r="543" customFormat="false" ht="15" hidden="false" customHeight="false" outlineLevel="0" collapsed="false">
      <c r="A543" s="3" t="s">
        <v>822</v>
      </c>
      <c r="B543" s="3" t="s">
        <v>1287</v>
      </c>
      <c r="C543" s="3" t="s">
        <v>16</v>
      </c>
      <c r="D543" s="3" t="s">
        <v>12</v>
      </c>
      <c r="E543" s="3" t="s">
        <v>23</v>
      </c>
      <c r="F543" s="3" t="s">
        <v>28</v>
      </c>
      <c r="G543" s="3" t="n">
        <v>7</v>
      </c>
      <c r="H543" s="3" t="n">
        <v>2499</v>
      </c>
      <c r="I543" s="3" t="n">
        <f aca="false">G543*H543</f>
        <v>17493</v>
      </c>
    </row>
    <row r="544" customFormat="false" ht="15" hidden="false" customHeight="false" outlineLevel="0" collapsed="false">
      <c r="A544" s="3" t="s">
        <v>761</v>
      </c>
      <c r="B544" s="3" t="s">
        <v>1288</v>
      </c>
      <c r="C544" s="3" t="s">
        <v>55</v>
      </c>
      <c r="D544" s="3" t="s">
        <v>12</v>
      </c>
      <c r="E544" s="3" t="s">
        <v>23</v>
      </c>
      <c r="F544" s="3" t="s">
        <v>42</v>
      </c>
      <c r="G544" s="3" t="n">
        <v>6</v>
      </c>
      <c r="H544" s="3" t="n">
        <v>299</v>
      </c>
      <c r="I544" s="3" t="n">
        <f aca="false">G544*H544</f>
        <v>1794</v>
      </c>
    </row>
    <row r="545" customFormat="false" ht="15" hidden="false" customHeight="false" outlineLevel="0" collapsed="false">
      <c r="A545" s="3" t="s">
        <v>279</v>
      </c>
      <c r="B545" s="3" t="s">
        <v>1288</v>
      </c>
      <c r="C545" s="3" t="s">
        <v>21</v>
      </c>
      <c r="D545" s="3" t="s">
        <v>22</v>
      </c>
      <c r="E545" s="3" t="s">
        <v>23</v>
      </c>
      <c r="F545" s="3" t="s">
        <v>18</v>
      </c>
      <c r="G545" s="3" t="n">
        <v>1</v>
      </c>
      <c r="H545" s="3" t="n">
        <v>699</v>
      </c>
      <c r="I545" s="3" t="n">
        <f aca="false">G545*H545</f>
        <v>699</v>
      </c>
    </row>
    <row r="546" customFormat="false" ht="15" hidden="false" customHeight="false" outlineLevel="0" collapsed="false">
      <c r="A546" s="3" t="s">
        <v>895</v>
      </c>
      <c r="B546" s="3" t="s">
        <v>1289</v>
      </c>
      <c r="C546" s="3" t="s">
        <v>21</v>
      </c>
      <c r="D546" s="3" t="s">
        <v>22</v>
      </c>
      <c r="E546" s="3" t="s">
        <v>23</v>
      </c>
      <c r="F546" s="3" t="s">
        <v>42</v>
      </c>
      <c r="G546" s="3" t="n">
        <v>3</v>
      </c>
      <c r="H546" s="3" t="n">
        <v>699</v>
      </c>
      <c r="I546" s="3" t="n">
        <f aca="false">G546*H546</f>
        <v>2097</v>
      </c>
    </row>
    <row r="547" customFormat="false" ht="15" hidden="false" customHeight="false" outlineLevel="0" collapsed="false">
      <c r="A547" s="3" t="s">
        <v>231</v>
      </c>
      <c r="B547" s="3" t="s">
        <v>1289</v>
      </c>
      <c r="C547" s="3" t="s">
        <v>16</v>
      </c>
      <c r="D547" s="3" t="s">
        <v>12</v>
      </c>
      <c r="E547" s="3" t="s">
        <v>56</v>
      </c>
      <c r="F547" s="3" t="s">
        <v>35</v>
      </c>
      <c r="G547" s="3" t="n">
        <v>9</v>
      </c>
      <c r="H547" s="3" t="n">
        <v>2499</v>
      </c>
      <c r="I547" s="3" t="n">
        <f aca="false">G547*H547</f>
        <v>22491</v>
      </c>
    </row>
    <row r="548" customFormat="false" ht="15" hidden="false" customHeight="false" outlineLevel="0" collapsed="false">
      <c r="A548" s="3" t="s">
        <v>252</v>
      </c>
      <c r="B548" s="3" t="s">
        <v>1289</v>
      </c>
      <c r="C548" s="3" t="s">
        <v>75</v>
      </c>
      <c r="D548" s="3" t="s">
        <v>32</v>
      </c>
      <c r="E548" s="3" t="s">
        <v>23</v>
      </c>
      <c r="F548" s="3" t="s">
        <v>35</v>
      </c>
      <c r="G548" s="3" t="n">
        <v>11</v>
      </c>
      <c r="H548" s="3" t="n">
        <v>8999</v>
      </c>
      <c r="I548" s="3" t="n">
        <f aca="false">G548*H548</f>
        <v>98989</v>
      </c>
    </row>
    <row r="549" customFormat="false" ht="15" hidden="false" customHeight="false" outlineLevel="0" collapsed="false">
      <c r="A549" s="3" t="s">
        <v>511</v>
      </c>
      <c r="B549" s="3" t="s">
        <v>1290</v>
      </c>
      <c r="C549" s="3" t="s">
        <v>16</v>
      </c>
      <c r="D549" s="3" t="s">
        <v>12</v>
      </c>
      <c r="E549" s="3" t="s">
        <v>56</v>
      </c>
      <c r="F549" s="3" t="s">
        <v>28</v>
      </c>
      <c r="G549" s="3" t="n">
        <v>14</v>
      </c>
      <c r="H549" s="3" t="n">
        <v>2499</v>
      </c>
      <c r="I549" s="3" t="n">
        <f aca="false">G549*H549</f>
        <v>34986</v>
      </c>
    </row>
    <row r="550" customFormat="false" ht="15" hidden="false" customHeight="false" outlineLevel="0" collapsed="false">
      <c r="A550" s="3" t="s">
        <v>223</v>
      </c>
      <c r="B550" s="3" t="s">
        <v>1290</v>
      </c>
      <c r="C550" s="3" t="s">
        <v>27</v>
      </c>
      <c r="D550" s="3" t="s">
        <v>22</v>
      </c>
      <c r="E550" s="3" t="s">
        <v>13</v>
      </c>
      <c r="F550" s="3" t="s">
        <v>28</v>
      </c>
      <c r="G550" s="3" t="n">
        <v>13</v>
      </c>
      <c r="H550" s="3" t="n">
        <v>899</v>
      </c>
      <c r="I550" s="3" t="n">
        <f aca="false">G550*H550</f>
        <v>11687</v>
      </c>
    </row>
    <row r="551" customFormat="false" ht="15" hidden="false" customHeight="false" outlineLevel="0" collapsed="false">
      <c r="A551" s="3" t="s">
        <v>316</v>
      </c>
      <c r="B551" s="3" t="s">
        <v>1291</v>
      </c>
      <c r="C551" s="3" t="s">
        <v>16</v>
      </c>
      <c r="D551" s="3" t="s">
        <v>12</v>
      </c>
      <c r="E551" s="3" t="s">
        <v>56</v>
      </c>
      <c r="F551" s="3" t="s">
        <v>35</v>
      </c>
      <c r="G551" s="3" t="n">
        <v>11</v>
      </c>
      <c r="H551" s="3" t="n">
        <v>2499</v>
      </c>
      <c r="I551" s="3" t="n">
        <f aca="false">G551*H551</f>
        <v>27489</v>
      </c>
    </row>
    <row r="552" customFormat="false" ht="15" hidden="false" customHeight="false" outlineLevel="0" collapsed="false">
      <c r="A552" s="3" t="s">
        <v>286</v>
      </c>
      <c r="B552" s="3" t="s">
        <v>1291</v>
      </c>
      <c r="C552" s="3" t="s">
        <v>27</v>
      </c>
      <c r="D552" s="3" t="s">
        <v>22</v>
      </c>
      <c r="E552" s="3" t="s">
        <v>56</v>
      </c>
      <c r="F552" s="3" t="s">
        <v>42</v>
      </c>
      <c r="G552" s="3" t="n">
        <v>8</v>
      </c>
      <c r="H552" s="3" t="n">
        <v>899</v>
      </c>
      <c r="I552" s="3" t="n">
        <f aca="false">G552*H552</f>
        <v>7192</v>
      </c>
    </row>
    <row r="553" customFormat="false" ht="15" hidden="false" customHeight="false" outlineLevel="0" collapsed="false">
      <c r="A553" s="3" t="s">
        <v>945</v>
      </c>
      <c r="B553" s="3" t="s">
        <v>1291</v>
      </c>
      <c r="C553" s="3" t="s">
        <v>16</v>
      </c>
      <c r="D553" s="3" t="s">
        <v>12</v>
      </c>
      <c r="E553" s="3" t="s">
        <v>13</v>
      </c>
      <c r="F553" s="3" t="s">
        <v>24</v>
      </c>
      <c r="G553" s="3" t="n">
        <v>12</v>
      </c>
      <c r="H553" s="3" t="n">
        <v>2499</v>
      </c>
      <c r="I553" s="3" t="n">
        <f aca="false">G553*H553</f>
        <v>29988</v>
      </c>
    </row>
    <row r="554" customFormat="false" ht="15" hidden="false" customHeight="false" outlineLevel="0" collapsed="false">
      <c r="A554" s="3" t="s">
        <v>687</v>
      </c>
      <c r="B554" s="3" t="s">
        <v>1292</v>
      </c>
      <c r="C554" s="3" t="s">
        <v>45</v>
      </c>
      <c r="D554" s="3" t="s">
        <v>12</v>
      </c>
      <c r="E554" s="3" t="s">
        <v>23</v>
      </c>
      <c r="F554" s="3" t="s">
        <v>28</v>
      </c>
      <c r="G554" s="3" t="n">
        <v>7</v>
      </c>
      <c r="H554" s="3" t="n">
        <v>499</v>
      </c>
      <c r="I554" s="3" t="n">
        <f aca="false">G554*H554</f>
        <v>3493</v>
      </c>
    </row>
    <row r="555" customFormat="false" ht="15" hidden="false" customHeight="false" outlineLevel="0" collapsed="false">
      <c r="A555" s="3" t="s">
        <v>991</v>
      </c>
      <c r="B555" s="3" t="s">
        <v>1292</v>
      </c>
      <c r="C555" s="3" t="s">
        <v>45</v>
      </c>
      <c r="D555" s="3" t="s">
        <v>12</v>
      </c>
      <c r="E555" s="3" t="s">
        <v>56</v>
      </c>
      <c r="F555" s="3" t="s">
        <v>24</v>
      </c>
      <c r="G555" s="3" t="n">
        <v>11</v>
      </c>
      <c r="H555" s="3" t="n">
        <v>499</v>
      </c>
      <c r="I555" s="3" t="n">
        <f aca="false">G555*H555</f>
        <v>5489</v>
      </c>
    </row>
    <row r="556" customFormat="false" ht="15" hidden="false" customHeight="false" outlineLevel="0" collapsed="false">
      <c r="A556" s="3" t="s">
        <v>728</v>
      </c>
      <c r="B556" s="3" t="s">
        <v>1293</v>
      </c>
      <c r="C556" s="3" t="s">
        <v>55</v>
      </c>
      <c r="D556" s="3" t="s">
        <v>12</v>
      </c>
      <c r="E556" s="3" t="s">
        <v>23</v>
      </c>
      <c r="F556" s="3" t="s">
        <v>28</v>
      </c>
      <c r="G556" s="3" t="n">
        <v>6</v>
      </c>
      <c r="H556" s="3" t="n">
        <v>299</v>
      </c>
      <c r="I556" s="3" t="n">
        <f aca="false">G556*H556</f>
        <v>1794</v>
      </c>
    </row>
    <row r="557" customFormat="false" ht="15" hidden="false" customHeight="false" outlineLevel="0" collapsed="false">
      <c r="A557" s="3" t="s">
        <v>734</v>
      </c>
      <c r="B557" s="3" t="s">
        <v>1293</v>
      </c>
      <c r="C557" s="3" t="s">
        <v>16</v>
      </c>
      <c r="D557" s="3" t="s">
        <v>12</v>
      </c>
      <c r="E557" s="3" t="s">
        <v>56</v>
      </c>
      <c r="F557" s="3" t="s">
        <v>42</v>
      </c>
      <c r="G557" s="3" t="n">
        <v>11</v>
      </c>
      <c r="H557" s="3" t="n">
        <v>2499</v>
      </c>
      <c r="I557" s="3" t="n">
        <f aca="false">G557*H557</f>
        <v>27489</v>
      </c>
    </row>
    <row r="558" customFormat="false" ht="15" hidden="false" customHeight="false" outlineLevel="0" collapsed="false">
      <c r="A558" s="3" t="s">
        <v>634</v>
      </c>
      <c r="B558" s="3" t="s">
        <v>1293</v>
      </c>
      <c r="C558" s="3" t="s">
        <v>16</v>
      </c>
      <c r="D558" s="3" t="s">
        <v>12</v>
      </c>
      <c r="E558" s="3" t="s">
        <v>13</v>
      </c>
      <c r="F558" s="3" t="s">
        <v>35</v>
      </c>
      <c r="G558" s="3" t="n">
        <v>4</v>
      </c>
      <c r="H558" s="3" t="n">
        <v>2499</v>
      </c>
      <c r="I558" s="3" t="n">
        <f aca="false">G558*H558</f>
        <v>9996</v>
      </c>
    </row>
    <row r="559" customFormat="false" ht="15" hidden="false" customHeight="false" outlineLevel="0" collapsed="false">
      <c r="A559" s="3" t="s">
        <v>116</v>
      </c>
      <c r="B559" s="3" t="s">
        <v>1294</v>
      </c>
      <c r="C559" s="3" t="s">
        <v>27</v>
      </c>
      <c r="D559" s="3" t="s">
        <v>22</v>
      </c>
      <c r="E559" s="3" t="s">
        <v>41</v>
      </c>
      <c r="F559" s="3" t="s">
        <v>35</v>
      </c>
      <c r="G559" s="3" t="n">
        <v>8</v>
      </c>
      <c r="H559" s="3" t="n">
        <v>899</v>
      </c>
      <c r="I559" s="3" t="n">
        <f aca="false">G559*H559</f>
        <v>7192</v>
      </c>
    </row>
    <row r="560" customFormat="false" ht="15" hidden="false" customHeight="false" outlineLevel="0" collapsed="false">
      <c r="A560" s="3" t="s">
        <v>934</v>
      </c>
      <c r="B560" s="3" t="s">
        <v>1294</v>
      </c>
      <c r="C560" s="3" t="s">
        <v>27</v>
      </c>
      <c r="D560" s="3" t="s">
        <v>22</v>
      </c>
      <c r="E560" s="3" t="s">
        <v>41</v>
      </c>
      <c r="F560" s="3" t="s">
        <v>35</v>
      </c>
      <c r="G560" s="3" t="n">
        <v>5</v>
      </c>
      <c r="H560" s="3" t="n">
        <v>899</v>
      </c>
      <c r="I560" s="3" t="n">
        <f aca="false">G560*H560</f>
        <v>4495</v>
      </c>
    </row>
    <row r="561" customFormat="false" ht="15" hidden="false" customHeight="false" outlineLevel="0" collapsed="false">
      <c r="A561" s="3" t="s">
        <v>244</v>
      </c>
      <c r="B561" s="3" t="s">
        <v>1295</v>
      </c>
      <c r="C561" s="3" t="s">
        <v>27</v>
      </c>
      <c r="D561" s="3" t="s">
        <v>22</v>
      </c>
      <c r="E561" s="3" t="s">
        <v>41</v>
      </c>
      <c r="F561" s="3" t="s">
        <v>18</v>
      </c>
      <c r="G561" s="3" t="n">
        <v>5</v>
      </c>
      <c r="H561" s="3" t="n">
        <v>899</v>
      </c>
      <c r="I561" s="3" t="n">
        <f aca="false">G561*H561</f>
        <v>4495</v>
      </c>
    </row>
    <row r="562" customFormat="false" ht="15" hidden="false" customHeight="false" outlineLevel="0" collapsed="false">
      <c r="A562" s="3" t="s">
        <v>772</v>
      </c>
      <c r="B562" s="3" t="s">
        <v>1295</v>
      </c>
      <c r="C562" s="3" t="s">
        <v>38</v>
      </c>
      <c r="D562" s="3" t="s">
        <v>32</v>
      </c>
      <c r="E562" s="3" t="s">
        <v>56</v>
      </c>
      <c r="F562" s="3" t="s">
        <v>35</v>
      </c>
      <c r="G562" s="3" t="n">
        <v>8</v>
      </c>
      <c r="H562" s="3" t="n">
        <v>1999</v>
      </c>
      <c r="I562" s="3" t="n">
        <f aca="false">G562*H562</f>
        <v>15992</v>
      </c>
    </row>
    <row r="563" customFormat="false" ht="15" hidden="false" customHeight="false" outlineLevel="0" collapsed="false">
      <c r="A563" s="3" t="s">
        <v>769</v>
      </c>
      <c r="B563" s="3" t="s">
        <v>1296</v>
      </c>
      <c r="C563" s="3" t="s">
        <v>27</v>
      </c>
      <c r="D563" s="3" t="s">
        <v>22</v>
      </c>
      <c r="E563" s="3" t="s">
        <v>23</v>
      </c>
      <c r="F563" s="3" t="s">
        <v>42</v>
      </c>
      <c r="G563" s="3" t="n">
        <v>1</v>
      </c>
      <c r="H563" s="3" t="n">
        <v>899</v>
      </c>
      <c r="I563" s="3" t="n">
        <f aca="false">G563*H563</f>
        <v>899</v>
      </c>
    </row>
    <row r="564" customFormat="false" ht="15" hidden="false" customHeight="false" outlineLevel="0" collapsed="false">
      <c r="A564" s="3" t="s">
        <v>509</v>
      </c>
      <c r="B564" s="3" t="s">
        <v>1296</v>
      </c>
      <c r="C564" s="3" t="s">
        <v>16</v>
      </c>
      <c r="D564" s="3" t="s">
        <v>12</v>
      </c>
      <c r="E564" s="3" t="s">
        <v>41</v>
      </c>
      <c r="F564" s="3" t="s">
        <v>28</v>
      </c>
      <c r="G564" s="3" t="n">
        <v>3</v>
      </c>
      <c r="H564" s="3" t="n">
        <v>2499</v>
      </c>
      <c r="I564" s="3" t="n">
        <f aca="false">G564*H564</f>
        <v>7497</v>
      </c>
    </row>
    <row r="565" customFormat="false" ht="15" hidden="false" customHeight="false" outlineLevel="0" collapsed="false">
      <c r="A565" s="3" t="s">
        <v>698</v>
      </c>
      <c r="B565" s="3" t="s">
        <v>1297</v>
      </c>
      <c r="C565" s="3" t="s">
        <v>93</v>
      </c>
      <c r="D565" s="3" t="s">
        <v>12</v>
      </c>
      <c r="E565" s="3" t="s">
        <v>23</v>
      </c>
      <c r="F565" s="3" t="s">
        <v>24</v>
      </c>
      <c r="G565" s="3" t="n">
        <v>7</v>
      </c>
      <c r="H565" s="3" t="n">
        <v>1299</v>
      </c>
      <c r="I565" s="3" t="n">
        <f aca="false">G565*H565</f>
        <v>9093</v>
      </c>
    </row>
    <row r="566" customFormat="false" ht="15" hidden="false" customHeight="false" outlineLevel="0" collapsed="false">
      <c r="A566" s="3" t="s">
        <v>840</v>
      </c>
      <c r="B566" s="3" t="s">
        <v>1297</v>
      </c>
      <c r="C566" s="3" t="s">
        <v>93</v>
      </c>
      <c r="D566" s="3" t="s">
        <v>12</v>
      </c>
      <c r="E566" s="3" t="s">
        <v>13</v>
      </c>
      <c r="F566" s="3" t="s">
        <v>42</v>
      </c>
      <c r="G566" s="3" t="n">
        <v>8</v>
      </c>
      <c r="H566" s="3" t="n">
        <v>1299</v>
      </c>
      <c r="I566" s="3" t="n">
        <f aca="false">G566*H566</f>
        <v>10392</v>
      </c>
    </row>
    <row r="567" customFormat="false" ht="15" hidden="false" customHeight="false" outlineLevel="0" collapsed="false">
      <c r="A567" s="3" t="s">
        <v>821</v>
      </c>
      <c r="B567" s="3" t="s">
        <v>1298</v>
      </c>
      <c r="C567" s="3" t="s">
        <v>45</v>
      </c>
      <c r="D567" s="3" t="s">
        <v>12</v>
      </c>
      <c r="E567" s="3" t="s">
        <v>41</v>
      </c>
      <c r="F567" s="3" t="s">
        <v>35</v>
      </c>
      <c r="G567" s="3" t="n">
        <v>7</v>
      </c>
      <c r="H567" s="3" t="n">
        <v>499</v>
      </c>
      <c r="I567" s="3" t="n">
        <f aca="false">G567*H567</f>
        <v>3493</v>
      </c>
    </row>
    <row r="568" customFormat="false" ht="15" hidden="false" customHeight="false" outlineLevel="0" collapsed="false">
      <c r="A568" s="3" t="s">
        <v>436</v>
      </c>
      <c r="B568" s="3" t="s">
        <v>1298</v>
      </c>
      <c r="C568" s="3" t="s">
        <v>93</v>
      </c>
      <c r="D568" s="3" t="s">
        <v>12</v>
      </c>
      <c r="E568" s="3" t="s">
        <v>23</v>
      </c>
      <c r="F568" s="3" t="s">
        <v>42</v>
      </c>
      <c r="G568" s="3" t="n">
        <v>9</v>
      </c>
      <c r="H568" s="3" t="n">
        <v>1299</v>
      </c>
      <c r="I568" s="3" t="n">
        <f aca="false">G568*H568</f>
        <v>11691</v>
      </c>
    </row>
    <row r="569" customFormat="false" ht="15" hidden="false" customHeight="false" outlineLevel="0" collapsed="false">
      <c r="A569" s="3" t="s">
        <v>941</v>
      </c>
      <c r="B569" s="3" t="s">
        <v>1298</v>
      </c>
      <c r="C569" s="3" t="s">
        <v>21</v>
      </c>
      <c r="D569" s="3" t="s">
        <v>22</v>
      </c>
      <c r="E569" s="3" t="s">
        <v>41</v>
      </c>
      <c r="F569" s="3" t="s">
        <v>24</v>
      </c>
      <c r="G569" s="3" t="n">
        <v>8</v>
      </c>
      <c r="H569" s="3" t="n">
        <v>699</v>
      </c>
      <c r="I569" s="3" t="n">
        <f aca="false">G569*H569</f>
        <v>5592</v>
      </c>
    </row>
    <row r="570" customFormat="false" ht="15" hidden="false" customHeight="false" outlineLevel="0" collapsed="false">
      <c r="A570" s="3" t="s">
        <v>203</v>
      </c>
      <c r="B570" s="3" t="s">
        <v>1298</v>
      </c>
      <c r="C570" s="3" t="s">
        <v>16</v>
      </c>
      <c r="D570" s="3" t="s">
        <v>12</v>
      </c>
      <c r="E570" s="3" t="s">
        <v>41</v>
      </c>
      <c r="F570" s="3" t="s">
        <v>35</v>
      </c>
      <c r="G570" s="3" t="n">
        <v>1</v>
      </c>
      <c r="H570" s="3" t="n">
        <v>2499</v>
      </c>
      <c r="I570" s="3" t="n">
        <f aca="false">G570*H570</f>
        <v>2499</v>
      </c>
    </row>
    <row r="571" customFormat="false" ht="15" hidden="false" customHeight="false" outlineLevel="0" collapsed="false">
      <c r="A571" s="3" t="s">
        <v>738</v>
      </c>
      <c r="B571" s="3" t="s">
        <v>1299</v>
      </c>
      <c r="C571" s="3" t="s">
        <v>45</v>
      </c>
      <c r="D571" s="3" t="s">
        <v>12</v>
      </c>
      <c r="E571" s="3" t="s">
        <v>23</v>
      </c>
      <c r="F571" s="3" t="s">
        <v>24</v>
      </c>
      <c r="G571" s="3" t="n">
        <v>6</v>
      </c>
      <c r="H571" s="3" t="n">
        <v>499</v>
      </c>
      <c r="I571" s="3" t="n">
        <f aca="false">G571*H571</f>
        <v>2994</v>
      </c>
    </row>
    <row r="572" customFormat="false" ht="15" hidden="false" customHeight="false" outlineLevel="0" collapsed="false">
      <c r="A572" s="3" t="s">
        <v>561</v>
      </c>
      <c r="B572" s="3" t="s">
        <v>1299</v>
      </c>
      <c r="C572" s="3" t="s">
        <v>21</v>
      </c>
      <c r="D572" s="3" t="s">
        <v>22</v>
      </c>
      <c r="E572" s="3" t="s">
        <v>56</v>
      </c>
      <c r="F572" s="3" t="s">
        <v>24</v>
      </c>
      <c r="G572" s="3" t="n">
        <v>5</v>
      </c>
      <c r="H572" s="3" t="n">
        <v>699</v>
      </c>
      <c r="I572" s="3" t="n">
        <f aca="false">G572*H572</f>
        <v>3495</v>
      </c>
    </row>
    <row r="573" customFormat="false" ht="15" hidden="false" customHeight="false" outlineLevel="0" collapsed="false">
      <c r="A573" s="3" t="s">
        <v>996</v>
      </c>
      <c r="B573" s="3" t="s">
        <v>1300</v>
      </c>
      <c r="C573" s="3" t="s">
        <v>38</v>
      </c>
      <c r="D573" s="3" t="s">
        <v>32</v>
      </c>
      <c r="E573" s="3" t="s">
        <v>23</v>
      </c>
      <c r="F573" s="3" t="s">
        <v>28</v>
      </c>
      <c r="G573" s="3" t="n">
        <v>10</v>
      </c>
      <c r="H573" s="3" t="n">
        <v>1999</v>
      </c>
      <c r="I573" s="3" t="n">
        <f aca="false">G573*H573</f>
        <v>19990</v>
      </c>
    </row>
    <row r="574" customFormat="false" ht="15" hidden="false" customHeight="false" outlineLevel="0" collapsed="false">
      <c r="A574" s="3" t="s">
        <v>750</v>
      </c>
      <c r="B574" s="3" t="s">
        <v>1300</v>
      </c>
      <c r="C574" s="3" t="s">
        <v>21</v>
      </c>
      <c r="D574" s="3" t="s">
        <v>22</v>
      </c>
      <c r="E574" s="3" t="s">
        <v>23</v>
      </c>
      <c r="F574" s="3" t="s">
        <v>42</v>
      </c>
      <c r="G574" s="3" t="n">
        <v>11</v>
      </c>
      <c r="H574" s="3" t="n">
        <v>699</v>
      </c>
      <c r="I574" s="3" t="n">
        <f aca="false">G574*H574</f>
        <v>7689</v>
      </c>
    </row>
    <row r="575" customFormat="false" ht="15" hidden="false" customHeight="false" outlineLevel="0" collapsed="false">
      <c r="A575" s="3" t="s">
        <v>881</v>
      </c>
      <c r="B575" s="3" t="s">
        <v>1300</v>
      </c>
      <c r="C575" s="3" t="s">
        <v>55</v>
      </c>
      <c r="D575" s="3" t="s">
        <v>12</v>
      </c>
      <c r="E575" s="3" t="s">
        <v>13</v>
      </c>
      <c r="F575" s="3" t="s">
        <v>28</v>
      </c>
      <c r="G575" s="3" t="n">
        <v>8</v>
      </c>
      <c r="H575" s="3" t="n">
        <v>299</v>
      </c>
      <c r="I575" s="3" t="n">
        <f aca="false">G575*H575</f>
        <v>2392</v>
      </c>
    </row>
    <row r="576" customFormat="false" ht="15" hidden="false" customHeight="false" outlineLevel="0" collapsed="false">
      <c r="A576" s="3" t="s">
        <v>120</v>
      </c>
      <c r="B576" s="3" t="s">
        <v>1301</v>
      </c>
      <c r="C576" s="3" t="s">
        <v>31</v>
      </c>
      <c r="D576" s="3" t="s">
        <v>32</v>
      </c>
      <c r="E576" s="3" t="s">
        <v>56</v>
      </c>
      <c r="F576" s="3" t="s">
        <v>42</v>
      </c>
      <c r="G576" s="3" t="n">
        <v>8</v>
      </c>
      <c r="H576" s="3" t="n">
        <v>1499</v>
      </c>
      <c r="I576" s="3" t="n">
        <f aca="false">G576*H576</f>
        <v>11992</v>
      </c>
    </row>
    <row r="577" customFormat="false" ht="15" hidden="false" customHeight="false" outlineLevel="0" collapsed="false">
      <c r="A577" s="3" t="s">
        <v>705</v>
      </c>
      <c r="B577" s="3" t="s">
        <v>1302</v>
      </c>
      <c r="C577" s="3" t="s">
        <v>31</v>
      </c>
      <c r="D577" s="3" t="s">
        <v>32</v>
      </c>
      <c r="E577" s="3" t="s">
        <v>56</v>
      </c>
      <c r="F577" s="3" t="s">
        <v>28</v>
      </c>
      <c r="G577" s="3" t="n">
        <v>1</v>
      </c>
      <c r="H577" s="3" t="n">
        <v>1499</v>
      </c>
      <c r="I577" s="3" t="n">
        <f aca="false">G577*H577</f>
        <v>1499</v>
      </c>
    </row>
    <row r="578" customFormat="false" ht="15" hidden="false" customHeight="false" outlineLevel="0" collapsed="false">
      <c r="A578" s="3" t="s">
        <v>449</v>
      </c>
      <c r="B578" s="3" t="s">
        <v>1302</v>
      </c>
      <c r="C578" s="3" t="s">
        <v>27</v>
      </c>
      <c r="D578" s="3" t="s">
        <v>22</v>
      </c>
      <c r="E578" s="3" t="s">
        <v>56</v>
      </c>
      <c r="F578" s="3" t="s">
        <v>28</v>
      </c>
      <c r="G578" s="3" t="n">
        <v>14</v>
      </c>
      <c r="H578" s="3" t="n">
        <v>899</v>
      </c>
      <c r="I578" s="3" t="n">
        <f aca="false">G578*H578</f>
        <v>12586</v>
      </c>
    </row>
    <row r="579" customFormat="false" ht="15" hidden="false" customHeight="false" outlineLevel="0" collapsed="false">
      <c r="A579" s="3" t="s">
        <v>764</v>
      </c>
      <c r="B579" s="3" t="s">
        <v>1302</v>
      </c>
      <c r="C579" s="3" t="s">
        <v>93</v>
      </c>
      <c r="D579" s="3" t="s">
        <v>12</v>
      </c>
      <c r="E579" s="3" t="s">
        <v>13</v>
      </c>
      <c r="F579" s="3" t="s">
        <v>35</v>
      </c>
      <c r="G579" s="3" t="n">
        <v>11</v>
      </c>
      <c r="H579" s="3" t="n">
        <v>1299</v>
      </c>
      <c r="I579" s="3" t="n">
        <f aca="false">G579*H579</f>
        <v>14289</v>
      </c>
    </row>
    <row r="580" customFormat="false" ht="15" hidden="false" customHeight="false" outlineLevel="0" collapsed="false">
      <c r="A580" s="3" t="s">
        <v>492</v>
      </c>
      <c r="B580" s="3" t="s">
        <v>1303</v>
      </c>
      <c r="C580" s="3" t="s">
        <v>16</v>
      </c>
      <c r="D580" s="3" t="s">
        <v>12</v>
      </c>
      <c r="E580" s="3" t="s">
        <v>56</v>
      </c>
      <c r="F580" s="3" t="s">
        <v>24</v>
      </c>
      <c r="G580" s="3" t="n">
        <v>9</v>
      </c>
      <c r="H580" s="3" t="n">
        <v>2499</v>
      </c>
      <c r="I580" s="3" t="n">
        <f aca="false">G580*H580</f>
        <v>22491</v>
      </c>
    </row>
    <row r="581" customFormat="false" ht="15" hidden="false" customHeight="false" outlineLevel="0" collapsed="false">
      <c r="A581" s="3" t="s">
        <v>641</v>
      </c>
      <c r="B581" s="3" t="s">
        <v>1303</v>
      </c>
      <c r="C581" s="3" t="s">
        <v>31</v>
      </c>
      <c r="D581" s="3" t="s">
        <v>32</v>
      </c>
      <c r="E581" s="3" t="s">
        <v>23</v>
      </c>
      <c r="F581" s="3" t="s">
        <v>35</v>
      </c>
      <c r="G581" s="3" t="n">
        <v>11</v>
      </c>
      <c r="H581" s="3" t="n">
        <v>1499</v>
      </c>
      <c r="I581" s="3" t="n">
        <f aca="false">G581*H581</f>
        <v>16489</v>
      </c>
    </row>
    <row r="582" customFormat="false" ht="15" hidden="false" customHeight="false" outlineLevel="0" collapsed="false">
      <c r="A582" s="3" t="s">
        <v>831</v>
      </c>
      <c r="B582" s="3" t="s">
        <v>1304</v>
      </c>
      <c r="C582" s="3" t="s">
        <v>75</v>
      </c>
      <c r="D582" s="3" t="s">
        <v>32</v>
      </c>
      <c r="E582" s="3" t="s">
        <v>56</v>
      </c>
      <c r="F582" s="3" t="s">
        <v>35</v>
      </c>
      <c r="G582" s="3" t="n">
        <v>11</v>
      </c>
      <c r="H582" s="3" t="n">
        <v>8999</v>
      </c>
      <c r="I582" s="3" t="n">
        <f aca="false">G582*H582</f>
        <v>98989</v>
      </c>
    </row>
    <row r="583" customFormat="false" ht="15" hidden="false" customHeight="false" outlineLevel="0" collapsed="false">
      <c r="A583" s="3" t="s">
        <v>613</v>
      </c>
      <c r="B583" s="3" t="s">
        <v>1304</v>
      </c>
      <c r="C583" s="3" t="s">
        <v>93</v>
      </c>
      <c r="D583" s="3" t="s">
        <v>12</v>
      </c>
      <c r="E583" s="3" t="s">
        <v>41</v>
      </c>
      <c r="F583" s="3" t="s">
        <v>35</v>
      </c>
      <c r="G583" s="3" t="n">
        <v>5</v>
      </c>
      <c r="H583" s="3" t="n">
        <v>1299</v>
      </c>
      <c r="I583" s="3" t="n">
        <f aca="false">G583*H583</f>
        <v>6495</v>
      </c>
    </row>
    <row r="584" customFormat="false" ht="15" hidden="false" customHeight="false" outlineLevel="0" collapsed="false">
      <c r="A584" s="3" t="s">
        <v>99</v>
      </c>
      <c r="B584" s="3" t="s">
        <v>1304</v>
      </c>
      <c r="C584" s="3" t="s">
        <v>16</v>
      </c>
      <c r="D584" s="3" t="s">
        <v>12</v>
      </c>
      <c r="E584" s="3" t="s">
        <v>41</v>
      </c>
      <c r="F584" s="3" t="s">
        <v>28</v>
      </c>
      <c r="G584" s="3" t="n">
        <v>4</v>
      </c>
      <c r="H584" s="3" t="n">
        <v>2499</v>
      </c>
      <c r="I584" s="3" t="n">
        <f aca="false">G584*H584</f>
        <v>9996</v>
      </c>
    </row>
    <row r="585" customFormat="false" ht="15" hidden="false" customHeight="false" outlineLevel="0" collapsed="false">
      <c r="A585" s="3" t="s">
        <v>942</v>
      </c>
      <c r="B585" s="3" t="s">
        <v>1304</v>
      </c>
      <c r="C585" s="3" t="s">
        <v>93</v>
      </c>
      <c r="D585" s="3" t="s">
        <v>12</v>
      </c>
      <c r="E585" s="3" t="s">
        <v>13</v>
      </c>
      <c r="F585" s="3" t="s">
        <v>28</v>
      </c>
      <c r="G585" s="3" t="n">
        <v>2</v>
      </c>
      <c r="H585" s="3" t="n">
        <v>1299</v>
      </c>
      <c r="I585" s="3" t="n">
        <f aca="false">G585*H585</f>
        <v>2598</v>
      </c>
    </row>
    <row r="586" customFormat="false" ht="15" hidden="false" customHeight="false" outlineLevel="0" collapsed="false">
      <c r="A586" s="3" t="s">
        <v>770</v>
      </c>
      <c r="B586" s="3" t="s">
        <v>1305</v>
      </c>
      <c r="C586" s="3" t="s">
        <v>31</v>
      </c>
      <c r="D586" s="3" t="s">
        <v>32</v>
      </c>
      <c r="E586" s="3" t="s">
        <v>23</v>
      </c>
      <c r="F586" s="3" t="s">
        <v>42</v>
      </c>
      <c r="G586" s="3" t="n">
        <v>12</v>
      </c>
      <c r="H586" s="3" t="n">
        <v>1499</v>
      </c>
      <c r="I586" s="3" t="n">
        <f aca="false">G586*H586</f>
        <v>17988</v>
      </c>
    </row>
    <row r="587" customFormat="false" ht="15" hidden="false" customHeight="false" outlineLevel="0" collapsed="false">
      <c r="A587" s="3" t="s">
        <v>857</v>
      </c>
      <c r="B587" s="3" t="s">
        <v>1306</v>
      </c>
      <c r="C587" s="3" t="s">
        <v>21</v>
      </c>
      <c r="D587" s="3" t="s">
        <v>22</v>
      </c>
      <c r="E587" s="3" t="s">
        <v>56</v>
      </c>
      <c r="F587" s="3" t="s">
        <v>42</v>
      </c>
      <c r="G587" s="3" t="n">
        <v>10</v>
      </c>
      <c r="H587" s="3" t="n">
        <v>699</v>
      </c>
      <c r="I587" s="3" t="n">
        <f aca="false">G587*H587</f>
        <v>6990</v>
      </c>
    </row>
    <row r="588" customFormat="false" ht="15" hidden="false" customHeight="false" outlineLevel="0" collapsed="false">
      <c r="A588" s="3" t="s">
        <v>534</v>
      </c>
      <c r="B588" s="3" t="s">
        <v>1306</v>
      </c>
      <c r="C588" s="3" t="s">
        <v>55</v>
      </c>
      <c r="D588" s="3" t="s">
        <v>12</v>
      </c>
      <c r="E588" s="3" t="s">
        <v>13</v>
      </c>
      <c r="F588" s="3" t="s">
        <v>24</v>
      </c>
      <c r="G588" s="3" t="n">
        <v>2</v>
      </c>
      <c r="H588" s="3" t="n">
        <v>299</v>
      </c>
      <c r="I588" s="3" t="n">
        <f aca="false">G588*H588</f>
        <v>598</v>
      </c>
    </row>
    <row r="589" customFormat="false" ht="15" hidden="false" customHeight="false" outlineLevel="0" collapsed="false">
      <c r="A589" s="3" t="s">
        <v>985</v>
      </c>
      <c r="B589" s="3" t="s">
        <v>1307</v>
      </c>
      <c r="C589" s="3" t="s">
        <v>75</v>
      </c>
      <c r="D589" s="3" t="s">
        <v>32</v>
      </c>
      <c r="E589" s="3" t="s">
        <v>13</v>
      </c>
      <c r="F589" s="3" t="s">
        <v>42</v>
      </c>
      <c r="G589" s="3" t="n">
        <v>9</v>
      </c>
      <c r="H589" s="3" t="n">
        <v>8999</v>
      </c>
      <c r="I589" s="3" t="n">
        <f aca="false">G589*H589</f>
        <v>80991</v>
      </c>
    </row>
    <row r="590" customFormat="false" ht="15" hidden="false" customHeight="false" outlineLevel="0" collapsed="false">
      <c r="A590" s="3" t="s">
        <v>980</v>
      </c>
      <c r="B590" s="3" t="s">
        <v>1308</v>
      </c>
      <c r="C590" s="3" t="s">
        <v>38</v>
      </c>
      <c r="D590" s="3" t="s">
        <v>32</v>
      </c>
      <c r="E590" s="3" t="s">
        <v>41</v>
      </c>
      <c r="F590" s="3" t="s">
        <v>24</v>
      </c>
      <c r="G590" s="3" t="n">
        <v>11</v>
      </c>
      <c r="H590" s="3" t="n">
        <v>1999</v>
      </c>
      <c r="I590" s="3" t="n">
        <f aca="false">G590*H590</f>
        <v>21989</v>
      </c>
    </row>
    <row r="591" customFormat="false" ht="15" hidden="false" customHeight="false" outlineLevel="0" collapsed="false">
      <c r="A591" s="3" t="s">
        <v>846</v>
      </c>
      <c r="B591" s="3" t="s">
        <v>1308</v>
      </c>
      <c r="C591" s="3" t="s">
        <v>75</v>
      </c>
      <c r="D591" s="3" t="s">
        <v>32</v>
      </c>
      <c r="E591" s="3" t="s">
        <v>41</v>
      </c>
      <c r="F591" s="3" t="s">
        <v>42</v>
      </c>
      <c r="G591" s="3" t="n">
        <v>6</v>
      </c>
      <c r="H591" s="3" t="n">
        <v>8999</v>
      </c>
      <c r="I591" s="3" t="n">
        <f aca="false">G591*H591</f>
        <v>53994</v>
      </c>
    </row>
    <row r="592" customFormat="false" ht="15" hidden="false" customHeight="false" outlineLevel="0" collapsed="false">
      <c r="A592" s="3" t="s">
        <v>524</v>
      </c>
      <c r="B592" s="3" t="s">
        <v>1308</v>
      </c>
      <c r="C592" s="3" t="s">
        <v>93</v>
      </c>
      <c r="D592" s="3" t="s">
        <v>12</v>
      </c>
      <c r="E592" s="3" t="s">
        <v>13</v>
      </c>
      <c r="F592" s="3" t="s">
        <v>24</v>
      </c>
      <c r="G592" s="3" t="n">
        <v>4</v>
      </c>
      <c r="H592" s="3" t="n">
        <v>1299</v>
      </c>
      <c r="I592" s="3" t="n">
        <f aca="false">G592*H592</f>
        <v>5196</v>
      </c>
    </row>
    <row r="593" customFormat="false" ht="15" hidden="false" customHeight="false" outlineLevel="0" collapsed="false">
      <c r="A593" s="3" t="s">
        <v>732</v>
      </c>
      <c r="B593" s="3" t="s">
        <v>1308</v>
      </c>
      <c r="C593" s="3" t="s">
        <v>75</v>
      </c>
      <c r="D593" s="3" t="s">
        <v>32</v>
      </c>
      <c r="E593" s="3" t="s">
        <v>23</v>
      </c>
      <c r="F593" s="3" t="s">
        <v>42</v>
      </c>
      <c r="G593" s="3" t="n">
        <v>10</v>
      </c>
      <c r="H593" s="3" t="n">
        <v>8999</v>
      </c>
      <c r="I593" s="3" t="n">
        <f aca="false">G593*H593</f>
        <v>89990</v>
      </c>
    </row>
    <row r="594" customFormat="false" ht="15" hidden="false" customHeight="false" outlineLevel="0" collapsed="false">
      <c r="A594" s="3" t="s">
        <v>773</v>
      </c>
      <c r="B594" s="3" t="s">
        <v>1309</v>
      </c>
      <c r="C594" s="3" t="s">
        <v>93</v>
      </c>
      <c r="D594" s="3" t="s">
        <v>12</v>
      </c>
      <c r="E594" s="3" t="s">
        <v>23</v>
      </c>
      <c r="F594" s="3" t="s">
        <v>28</v>
      </c>
      <c r="G594" s="3" t="n">
        <v>5</v>
      </c>
      <c r="H594" s="3" t="n">
        <v>1299</v>
      </c>
      <c r="I594" s="3" t="n">
        <f aca="false">G594*H594</f>
        <v>6495</v>
      </c>
    </row>
    <row r="595" customFormat="false" ht="15" hidden="false" customHeight="false" outlineLevel="0" collapsed="false">
      <c r="A595" s="3" t="s">
        <v>229</v>
      </c>
      <c r="B595" s="3" t="s">
        <v>1309</v>
      </c>
      <c r="C595" s="3" t="s">
        <v>16</v>
      </c>
      <c r="D595" s="3" t="s">
        <v>12</v>
      </c>
      <c r="E595" s="3" t="s">
        <v>13</v>
      </c>
      <c r="F595" s="3" t="s">
        <v>28</v>
      </c>
      <c r="G595" s="3" t="n">
        <v>3</v>
      </c>
      <c r="H595" s="3" t="n">
        <v>2499</v>
      </c>
      <c r="I595" s="3" t="n">
        <f aca="false">G595*H595</f>
        <v>7497</v>
      </c>
    </row>
    <row r="596" customFormat="false" ht="15" hidden="false" customHeight="false" outlineLevel="0" collapsed="false">
      <c r="A596" s="3" t="s">
        <v>720</v>
      </c>
      <c r="B596" s="3" t="s">
        <v>1310</v>
      </c>
      <c r="C596" s="3" t="s">
        <v>55</v>
      </c>
      <c r="D596" s="3" t="s">
        <v>12</v>
      </c>
      <c r="E596" s="3" t="s">
        <v>23</v>
      </c>
      <c r="F596" s="3" t="s">
        <v>42</v>
      </c>
      <c r="G596" s="3" t="n">
        <v>1</v>
      </c>
      <c r="H596" s="3" t="n">
        <v>299</v>
      </c>
      <c r="I596" s="3" t="n">
        <f aca="false">G596*H596</f>
        <v>299</v>
      </c>
    </row>
    <row r="597" customFormat="false" ht="15" hidden="false" customHeight="false" outlineLevel="0" collapsed="false">
      <c r="A597" s="3" t="s">
        <v>661</v>
      </c>
      <c r="B597" s="3" t="s">
        <v>1310</v>
      </c>
      <c r="C597" s="3" t="s">
        <v>31</v>
      </c>
      <c r="D597" s="3" t="s">
        <v>32</v>
      </c>
      <c r="E597" s="3" t="s">
        <v>41</v>
      </c>
      <c r="F597" s="3" t="s">
        <v>24</v>
      </c>
      <c r="G597" s="3" t="n">
        <v>9</v>
      </c>
      <c r="H597" s="3" t="n">
        <v>1499</v>
      </c>
      <c r="I597" s="3" t="n">
        <f aca="false">G597*H597</f>
        <v>13491</v>
      </c>
    </row>
    <row r="598" customFormat="false" ht="15" hidden="false" customHeight="false" outlineLevel="0" collapsed="false">
      <c r="A598" s="3" t="s">
        <v>955</v>
      </c>
      <c r="B598" s="3" t="s">
        <v>1311</v>
      </c>
      <c r="C598" s="3" t="s">
        <v>105</v>
      </c>
      <c r="D598" s="3" t="s">
        <v>32</v>
      </c>
      <c r="E598" s="3" t="s">
        <v>56</v>
      </c>
      <c r="F598" s="3" t="s">
        <v>18</v>
      </c>
      <c r="G598" s="3" t="n">
        <v>5</v>
      </c>
      <c r="H598" s="3" t="n">
        <v>1799</v>
      </c>
      <c r="I598" s="3" t="n">
        <f aca="false">G598*H598</f>
        <v>8995</v>
      </c>
    </row>
    <row r="599" customFormat="false" ht="15" hidden="false" customHeight="false" outlineLevel="0" collapsed="false">
      <c r="A599" s="3" t="s">
        <v>691</v>
      </c>
      <c r="B599" s="3" t="s">
        <v>1311</v>
      </c>
      <c r="C599" s="3" t="s">
        <v>21</v>
      </c>
      <c r="D599" s="3" t="s">
        <v>22</v>
      </c>
      <c r="E599" s="3" t="s">
        <v>13</v>
      </c>
      <c r="F599" s="3" t="s">
        <v>42</v>
      </c>
      <c r="G599" s="3" t="n">
        <v>6</v>
      </c>
      <c r="H599" s="3" t="n">
        <v>699</v>
      </c>
      <c r="I599" s="3" t="n">
        <f aca="false">G599*H599</f>
        <v>4194</v>
      </c>
    </row>
    <row r="600" customFormat="false" ht="15" hidden="false" customHeight="false" outlineLevel="0" collapsed="false">
      <c r="A600" s="3" t="s">
        <v>551</v>
      </c>
      <c r="B600" s="3" t="s">
        <v>1312</v>
      </c>
      <c r="C600" s="3" t="s">
        <v>105</v>
      </c>
      <c r="D600" s="3" t="s">
        <v>32</v>
      </c>
      <c r="E600" s="3" t="s">
        <v>23</v>
      </c>
      <c r="F600" s="3" t="s">
        <v>42</v>
      </c>
      <c r="G600" s="3" t="n">
        <v>6</v>
      </c>
      <c r="H600" s="3" t="n">
        <v>1799</v>
      </c>
      <c r="I600" s="3" t="n">
        <f aca="false">G600*H600</f>
        <v>10794</v>
      </c>
    </row>
    <row r="601" customFormat="false" ht="15" hidden="false" customHeight="false" outlineLevel="0" collapsed="false">
      <c r="A601" s="3" t="s">
        <v>303</v>
      </c>
      <c r="B601" s="3" t="s">
        <v>1313</v>
      </c>
      <c r="C601" s="3" t="s">
        <v>75</v>
      </c>
      <c r="D601" s="3" t="s">
        <v>32</v>
      </c>
      <c r="E601" s="3" t="s">
        <v>13</v>
      </c>
      <c r="F601" s="3" t="s">
        <v>28</v>
      </c>
      <c r="G601" s="3" t="n">
        <v>6</v>
      </c>
      <c r="H601" s="3" t="n">
        <v>8999</v>
      </c>
      <c r="I601" s="3" t="n">
        <f aca="false">G601*H601</f>
        <v>53994</v>
      </c>
    </row>
    <row r="602" customFormat="false" ht="15" hidden="false" customHeight="false" outlineLevel="0" collapsed="false">
      <c r="A602" s="3" t="s">
        <v>998</v>
      </c>
      <c r="B602" s="3" t="s">
        <v>1314</v>
      </c>
      <c r="C602" s="3" t="s">
        <v>21</v>
      </c>
      <c r="D602" s="3" t="s">
        <v>22</v>
      </c>
      <c r="E602" s="3" t="s">
        <v>13</v>
      </c>
      <c r="F602" s="3" t="s">
        <v>28</v>
      </c>
      <c r="G602" s="3" t="n">
        <v>7</v>
      </c>
      <c r="H602" s="3" t="n">
        <v>699</v>
      </c>
      <c r="I602" s="3" t="n">
        <f aca="false">G602*H602</f>
        <v>4893</v>
      </c>
    </row>
    <row r="603" customFormat="false" ht="15" hidden="false" customHeight="false" outlineLevel="0" collapsed="false">
      <c r="A603" s="3" t="s">
        <v>667</v>
      </c>
      <c r="B603" s="3" t="s">
        <v>1314</v>
      </c>
      <c r="C603" s="3" t="s">
        <v>38</v>
      </c>
      <c r="D603" s="3" t="s">
        <v>32</v>
      </c>
      <c r="E603" s="3" t="s">
        <v>41</v>
      </c>
      <c r="F603" s="3" t="s">
        <v>42</v>
      </c>
      <c r="G603" s="3" t="n">
        <v>6</v>
      </c>
      <c r="H603" s="3" t="n">
        <v>1999</v>
      </c>
      <c r="I603" s="3" t="n">
        <f aca="false">G603*H603</f>
        <v>11994</v>
      </c>
    </row>
    <row r="604" customFormat="false" ht="15" hidden="false" customHeight="false" outlineLevel="0" collapsed="false">
      <c r="A604" s="3" t="s">
        <v>765</v>
      </c>
      <c r="B604" s="3" t="s">
        <v>1314</v>
      </c>
      <c r="C604" s="3" t="s">
        <v>21</v>
      </c>
      <c r="D604" s="3" t="s">
        <v>22</v>
      </c>
      <c r="E604" s="3" t="s">
        <v>56</v>
      </c>
      <c r="F604" s="3" t="s">
        <v>28</v>
      </c>
      <c r="G604" s="3" t="n">
        <v>7</v>
      </c>
      <c r="H604" s="3" t="n">
        <v>699</v>
      </c>
      <c r="I604" s="3" t="n">
        <f aca="false">G604*H604</f>
        <v>4893</v>
      </c>
    </row>
    <row r="605" customFormat="false" ht="15" hidden="false" customHeight="false" outlineLevel="0" collapsed="false">
      <c r="A605" s="3" t="s">
        <v>627</v>
      </c>
      <c r="B605" s="3" t="s">
        <v>1314</v>
      </c>
      <c r="C605" s="3" t="s">
        <v>27</v>
      </c>
      <c r="D605" s="3" t="s">
        <v>22</v>
      </c>
      <c r="E605" s="3" t="s">
        <v>56</v>
      </c>
      <c r="F605" s="3" t="s">
        <v>24</v>
      </c>
      <c r="G605" s="3" t="n">
        <v>8</v>
      </c>
      <c r="H605" s="3" t="n">
        <v>899</v>
      </c>
      <c r="I605" s="3" t="n">
        <f aca="false">G605*H605</f>
        <v>7192</v>
      </c>
    </row>
    <row r="606" customFormat="false" ht="15" hidden="false" customHeight="false" outlineLevel="0" collapsed="false">
      <c r="A606" s="3" t="s">
        <v>301</v>
      </c>
      <c r="B606" s="3" t="s">
        <v>1314</v>
      </c>
      <c r="C606" s="3" t="s">
        <v>105</v>
      </c>
      <c r="D606" s="3" t="s">
        <v>32</v>
      </c>
      <c r="E606" s="3" t="s">
        <v>56</v>
      </c>
      <c r="F606" s="3" t="s">
        <v>42</v>
      </c>
      <c r="G606" s="3" t="n">
        <v>8</v>
      </c>
      <c r="H606" s="3" t="n">
        <v>1799</v>
      </c>
      <c r="I606" s="3" t="n">
        <f aca="false">G606*H606</f>
        <v>14392</v>
      </c>
    </row>
    <row r="607" customFormat="false" ht="15" hidden="false" customHeight="false" outlineLevel="0" collapsed="false">
      <c r="A607" s="3" t="s">
        <v>443</v>
      </c>
      <c r="B607" s="3" t="s">
        <v>1315</v>
      </c>
      <c r="C607" s="3" t="s">
        <v>31</v>
      </c>
      <c r="D607" s="3" t="s">
        <v>32</v>
      </c>
      <c r="E607" s="3" t="s">
        <v>56</v>
      </c>
      <c r="F607" s="3" t="s">
        <v>28</v>
      </c>
      <c r="G607" s="3" t="n">
        <v>6</v>
      </c>
      <c r="H607" s="3" t="n">
        <v>1499</v>
      </c>
      <c r="I607" s="3" t="n">
        <f aca="false">G607*H607</f>
        <v>8994</v>
      </c>
    </row>
    <row r="608" customFormat="false" ht="15" hidden="false" customHeight="false" outlineLevel="0" collapsed="false">
      <c r="A608" s="3" t="s">
        <v>479</v>
      </c>
      <c r="B608" s="3" t="s">
        <v>1316</v>
      </c>
      <c r="C608" s="3" t="s">
        <v>55</v>
      </c>
      <c r="D608" s="3" t="s">
        <v>12</v>
      </c>
      <c r="E608" s="3" t="s">
        <v>23</v>
      </c>
      <c r="F608" s="3" t="s">
        <v>35</v>
      </c>
      <c r="G608" s="3" t="n">
        <v>10</v>
      </c>
      <c r="H608" s="3" t="n">
        <v>299</v>
      </c>
      <c r="I608" s="3" t="n">
        <f aca="false">G608*H608</f>
        <v>2990</v>
      </c>
    </row>
    <row r="609" customFormat="false" ht="15" hidden="false" customHeight="false" outlineLevel="0" collapsed="false">
      <c r="A609" s="3" t="s">
        <v>812</v>
      </c>
      <c r="B609" s="3" t="s">
        <v>1317</v>
      </c>
      <c r="C609" s="3" t="s">
        <v>93</v>
      </c>
      <c r="D609" s="3" t="s">
        <v>12</v>
      </c>
      <c r="E609" s="3" t="s">
        <v>56</v>
      </c>
      <c r="F609" s="3" t="s">
        <v>18</v>
      </c>
      <c r="G609" s="3" t="n">
        <v>11</v>
      </c>
      <c r="H609" s="3" t="n">
        <v>1299</v>
      </c>
      <c r="I609" s="3" t="n">
        <f aca="false">G609*H609</f>
        <v>14289</v>
      </c>
    </row>
    <row r="610" customFormat="false" ht="15" hidden="false" customHeight="false" outlineLevel="0" collapsed="false">
      <c r="A610" s="3" t="s">
        <v>918</v>
      </c>
      <c r="B610" s="3" t="s">
        <v>1318</v>
      </c>
      <c r="C610" s="3" t="s">
        <v>27</v>
      </c>
      <c r="D610" s="3" t="s">
        <v>22</v>
      </c>
      <c r="E610" s="3" t="s">
        <v>56</v>
      </c>
      <c r="F610" s="3" t="s">
        <v>42</v>
      </c>
      <c r="G610" s="3" t="n">
        <v>8</v>
      </c>
      <c r="H610" s="3" t="n">
        <v>899</v>
      </c>
      <c r="I610" s="3" t="n">
        <f aca="false">G610*H610</f>
        <v>7192</v>
      </c>
    </row>
    <row r="611" customFormat="false" ht="15" hidden="false" customHeight="false" outlineLevel="0" collapsed="false">
      <c r="A611" s="3" t="s">
        <v>701</v>
      </c>
      <c r="B611" s="3" t="s">
        <v>1319</v>
      </c>
      <c r="C611" s="3" t="s">
        <v>31</v>
      </c>
      <c r="D611" s="3" t="s">
        <v>32</v>
      </c>
      <c r="E611" s="3" t="s">
        <v>56</v>
      </c>
      <c r="F611" s="3" t="s">
        <v>18</v>
      </c>
      <c r="G611" s="3" t="n">
        <v>9</v>
      </c>
      <c r="H611" s="3" t="n">
        <v>1499</v>
      </c>
      <c r="I611" s="3" t="n">
        <f aca="false">G611*H611</f>
        <v>13491</v>
      </c>
    </row>
    <row r="612" customFormat="false" ht="15" hidden="false" customHeight="false" outlineLevel="0" collapsed="false">
      <c r="A612" s="3" t="s">
        <v>670</v>
      </c>
      <c r="B612" s="3" t="s">
        <v>1320</v>
      </c>
      <c r="C612" s="3" t="s">
        <v>93</v>
      </c>
      <c r="D612" s="3" t="s">
        <v>12</v>
      </c>
      <c r="E612" s="3" t="s">
        <v>13</v>
      </c>
      <c r="F612" s="3" t="s">
        <v>35</v>
      </c>
      <c r="G612" s="3" t="n">
        <v>9</v>
      </c>
      <c r="H612" s="3" t="n">
        <v>1299</v>
      </c>
      <c r="I612" s="3" t="n">
        <f aca="false">G612*H612</f>
        <v>11691</v>
      </c>
    </row>
    <row r="613" customFormat="false" ht="15" hidden="false" customHeight="false" outlineLevel="0" collapsed="false">
      <c r="A613" s="3" t="s">
        <v>951</v>
      </c>
      <c r="B613" s="3" t="s">
        <v>1320</v>
      </c>
      <c r="C613" s="3" t="s">
        <v>45</v>
      </c>
      <c r="D613" s="3" t="s">
        <v>12</v>
      </c>
      <c r="E613" s="3" t="s">
        <v>56</v>
      </c>
      <c r="F613" s="3" t="s">
        <v>18</v>
      </c>
      <c r="G613" s="3" t="n">
        <v>6</v>
      </c>
      <c r="H613" s="3" t="n">
        <v>499</v>
      </c>
      <c r="I613" s="3" t="n">
        <f aca="false">G613*H613</f>
        <v>2994</v>
      </c>
    </row>
    <row r="614" customFormat="false" ht="15" hidden="false" customHeight="false" outlineLevel="0" collapsed="false">
      <c r="A614" s="3" t="s">
        <v>103</v>
      </c>
      <c r="B614" s="3" t="s">
        <v>1321</v>
      </c>
      <c r="C614" s="3" t="s">
        <v>105</v>
      </c>
      <c r="D614" s="3" t="s">
        <v>32</v>
      </c>
      <c r="E614" s="3" t="s">
        <v>23</v>
      </c>
      <c r="F614" s="3" t="s">
        <v>18</v>
      </c>
      <c r="G614" s="3" t="n">
        <v>2</v>
      </c>
      <c r="H614" s="3" t="n">
        <v>1799</v>
      </c>
      <c r="I614" s="3" t="n">
        <f aca="false">G614*H614</f>
        <v>3598</v>
      </c>
    </row>
    <row r="615" customFormat="false" ht="15" hidden="false" customHeight="false" outlineLevel="0" collapsed="false">
      <c r="A615" s="3" t="s">
        <v>867</v>
      </c>
      <c r="B615" s="3" t="s">
        <v>1321</v>
      </c>
      <c r="C615" s="3" t="s">
        <v>55</v>
      </c>
      <c r="D615" s="3" t="s">
        <v>12</v>
      </c>
      <c r="E615" s="3" t="s">
        <v>56</v>
      </c>
      <c r="F615" s="3" t="s">
        <v>42</v>
      </c>
      <c r="G615" s="3" t="n">
        <v>9</v>
      </c>
      <c r="H615" s="3" t="n">
        <v>299</v>
      </c>
      <c r="I615" s="3" t="n">
        <f aca="false">G615*H615</f>
        <v>2691</v>
      </c>
    </row>
    <row r="616" customFormat="false" ht="15" hidden="false" customHeight="false" outlineLevel="0" collapsed="false">
      <c r="A616" s="3" t="s">
        <v>752</v>
      </c>
      <c r="B616" s="3" t="s">
        <v>1321</v>
      </c>
      <c r="C616" s="3" t="s">
        <v>16</v>
      </c>
      <c r="D616" s="3" t="s">
        <v>12</v>
      </c>
      <c r="E616" s="3" t="s">
        <v>23</v>
      </c>
      <c r="F616" s="3" t="s">
        <v>35</v>
      </c>
      <c r="G616" s="3" t="n">
        <v>5</v>
      </c>
      <c r="H616" s="3" t="n">
        <v>2499</v>
      </c>
      <c r="I616" s="3" t="n">
        <f aca="false">G616*H616</f>
        <v>12495</v>
      </c>
    </row>
    <row r="617" customFormat="false" ht="15" hidden="false" customHeight="false" outlineLevel="0" collapsed="false">
      <c r="A617" s="3" t="s">
        <v>947</v>
      </c>
      <c r="B617" s="3" t="s">
        <v>1321</v>
      </c>
      <c r="C617" s="3" t="s">
        <v>45</v>
      </c>
      <c r="D617" s="3" t="s">
        <v>12</v>
      </c>
      <c r="E617" s="3" t="s">
        <v>41</v>
      </c>
      <c r="F617" s="3" t="s">
        <v>35</v>
      </c>
      <c r="G617" s="3" t="n">
        <v>3</v>
      </c>
      <c r="H617" s="3" t="n">
        <v>499</v>
      </c>
      <c r="I617" s="3" t="n">
        <f aca="false">G617*H617</f>
        <v>1497</v>
      </c>
    </row>
    <row r="618" customFormat="false" ht="15" hidden="false" customHeight="false" outlineLevel="0" collapsed="false">
      <c r="A618" s="3" t="s">
        <v>208</v>
      </c>
      <c r="B618" s="3" t="s">
        <v>1322</v>
      </c>
      <c r="C618" s="3" t="s">
        <v>45</v>
      </c>
      <c r="D618" s="3" t="s">
        <v>12</v>
      </c>
      <c r="E618" s="3" t="s">
        <v>41</v>
      </c>
      <c r="F618" s="3" t="s">
        <v>28</v>
      </c>
      <c r="G618" s="3" t="n">
        <v>1</v>
      </c>
      <c r="H618" s="3" t="n">
        <v>499</v>
      </c>
      <c r="I618" s="3" t="n">
        <f aca="false">G618*H618</f>
        <v>499</v>
      </c>
    </row>
    <row r="619" customFormat="false" ht="15" hidden="false" customHeight="false" outlineLevel="0" collapsed="false">
      <c r="A619" s="3" t="s">
        <v>491</v>
      </c>
      <c r="B619" s="3" t="s">
        <v>1322</v>
      </c>
      <c r="C619" s="3" t="s">
        <v>31</v>
      </c>
      <c r="D619" s="3" t="s">
        <v>32</v>
      </c>
      <c r="E619" s="3" t="s">
        <v>13</v>
      </c>
      <c r="F619" s="3" t="s">
        <v>24</v>
      </c>
      <c r="G619" s="3" t="n">
        <v>4</v>
      </c>
      <c r="H619" s="3" t="n">
        <v>1499</v>
      </c>
      <c r="I619" s="3" t="n">
        <f aca="false">G619*H619</f>
        <v>5996</v>
      </c>
    </row>
    <row r="620" customFormat="false" ht="15" hidden="false" customHeight="false" outlineLevel="0" collapsed="false">
      <c r="A620" s="3" t="s">
        <v>781</v>
      </c>
      <c r="B620" s="3" t="s">
        <v>1323</v>
      </c>
      <c r="C620" s="3" t="s">
        <v>31</v>
      </c>
      <c r="D620" s="3" t="s">
        <v>32</v>
      </c>
      <c r="E620" s="3" t="s">
        <v>41</v>
      </c>
      <c r="F620" s="3" t="s">
        <v>42</v>
      </c>
      <c r="G620" s="3" t="n">
        <v>8</v>
      </c>
      <c r="H620" s="3" t="n">
        <v>1499</v>
      </c>
      <c r="I620" s="3" t="n">
        <f aca="false">G620*H620</f>
        <v>11992</v>
      </c>
    </row>
    <row r="621" customFormat="false" ht="15" hidden="false" customHeight="false" outlineLevel="0" collapsed="false">
      <c r="A621" s="3" t="s">
        <v>630</v>
      </c>
      <c r="B621" s="3" t="s">
        <v>1323</v>
      </c>
      <c r="C621" s="3" t="s">
        <v>16</v>
      </c>
      <c r="D621" s="3" t="s">
        <v>12</v>
      </c>
      <c r="E621" s="3" t="s">
        <v>56</v>
      </c>
      <c r="F621" s="3" t="s">
        <v>28</v>
      </c>
      <c r="G621" s="3" t="n">
        <v>1</v>
      </c>
      <c r="H621" s="3" t="n">
        <v>2499</v>
      </c>
      <c r="I621" s="3" t="n">
        <f aca="false">G621*H621</f>
        <v>2499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3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9.7" hidden="false" customHeight="false" outlineLevel="0" collapsed="false">
      <c r="B2" s="5" t="s">
        <v>1324</v>
      </c>
    </row>
    <row r="3" customFormat="false" ht="15" hidden="false" customHeight="false" outlineLevel="0" collapsed="false">
      <c r="B3" s="6" t="s">
        <v>1325</v>
      </c>
    </row>
    <row r="5" customFormat="false" ht="15" hidden="false" customHeight="false" outlineLevel="0" collapsed="false">
      <c r="B5" s="8" t="s">
        <v>1326</v>
      </c>
    </row>
    <row r="6" customFormat="false" ht="15" hidden="false" customHeight="false" outlineLevel="0" collapsed="false">
      <c r="B6" s="3" t="s">
        <v>1327</v>
      </c>
      <c r="C6" s="11" t="n">
        <f aca="false">SUM('Clean Data'!I2:I621)</f>
        <v>9261406</v>
      </c>
    </row>
    <row r="7" customFormat="false" ht="15" hidden="false" customHeight="false" outlineLevel="0" collapsed="false">
      <c r="B7" s="3" t="s">
        <v>1328</v>
      </c>
      <c r="C7" s="12" t="n">
        <f aca="false">COUNTA('Clean Data'!A2:A621)</f>
        <v>620</v>
      </c>
    </row>
    <row r="8" customFormat="false" ht="15" hidden="false" customHeight="false" outlineLevel="0" collapsed="false">
      <c r="B8" s="3" t="s">
        <v>1329</v>
      </c>
      <c r="C8" s="11" t="n">
        <f aca="false">C6/C7</f>
        <v>14937.7516129032</v>
      </c>
    </row>
    <row r="9" customFormat="false" ht="15" hidden="false" customHeight="false" outlineLevel="0" collapsed="false">
      <c r="B9" s="3" t="s">
        <v>1330</v>
      </c>
      <c r="C9" s="12" t="n">
        <f aca="false">SUM('Clean Data'!G2:G621)</f>
        <v>4594</v>
      </c>
    </row>
    <row r="10" customFormat="false" ht="15" hidden="false" customHeight="false" outlineLevel="0" collapsed="false">
      <c r="B10" s="8" t="s">
        <v>1331</v>
      </c>
      <c r="E10" s="8" t="s">
        <v>1332</v>
      </c>
      <c r="H10" s="8" t="s">
        <v>1333</v>
      </c>
    </row>
    <row r="11" customFormat="false" ht="15" hidden="false" customHeight="false" outlineLevel="0" collapsed="false">
      <c r="B11" s="2" t="s">
        <v>4</v>
      </c>
      <c r="C11" s="2" t="s">
        <v>1334</v>
      </c>
      <c r="E11" s="2" t="s">
        <v>5</v>
      </c>
      <c r="F11" s="2" t="s">
        <v>1334</v>
      </c>
      <c r="H11" s="2" t="s">
        <v>1335</v>
      </c>
      <c r="I11" s="2" t="s">
        <v>1334</v>
      </c>
    </row>
    <row r="12" customFormat="false" ht="15" hidden="false" customHeight="false" outlineLevel="0" collapsed="false">
      <c r="B12" s="3" t="s">
        <v>12</v>
      </c>
      <c r="C12" s="13" t="n">
        <f aca="false">SUMIFS('Clean Data'!$I$2:$I$621,'Clean Data'!$D$2:$D$621,B12)</f>
        <v>2134961</v>
      </c>
      <c r="E12" s="3" t="s">
        <v>41</v>
      </c>
      <c r="F12" s="13" t="n">
        <f aca="false">SUMIFS('Clean Data'!$I$2:$I$621,'Clean Data'!$E$2:$E$621,E12)</f>
        <v>2372143</v>
      </c>
      <c r="H12" s="3" t="s">
        <v>42</v>
      </c>
      <c r="I12" s="13" t="n">
        <f aca="false">SUMIFS('Clean Data'!$I$2:$I$621,'Clean Data'!$F$2:$F$621,H12)</f>
        <v>2508447</v>
      </c>
    </row>
    <row r="13" customFormat="false" ht="15" hidden="false" customHeight="false" outlineLevel="0" collapsed="false">
      <c r="B13" s="3" t="s">
        <v>32</v>
      </c>
      <c r="C13" s="13" t="n">
        <f aca="false">SUMIFS('Clean Data'!$I$2:$I$621,'Clean Data'!$D$2:$D$621,B13)</f>
        <v>6386543</v>
      </c>
      <c r="E13" s="3" t="s">
        <v>56</v>
      </c>
      <c r="F13" s="13" t="n">
        <f aca="false">SUMIFS('Clean Data'!$I$2:$I$621,'Clean Data'!$E$2:$E$621,E13)</f>
        <v>2480769</v>
      </c>
      <c r="H13" s="3" t="s">
        <v>18</v>
      </c>
      <c r="I13" s="13" t="n">
        <f aca="false">SUMIFS('Clean Data'!$I$2:$I$621,'Clean Data'!$F$2:$F$621,H13)</f>
        <v>1177957</v>
      </c>
    </row>
    <row r="14" customFormat="false" ht="15" hidden="false" customHeight="false" outlineLevel="0" collapsed="false">
      <c r="B14" s="3" t="s">
        <v>22</v>
      </c>
      <c r="C14" s="13" t="n">
        <f aca="false">SUMIFS('Clean Data'!$I$2:$I$621,'Clean Data'!$D$2:$D$621,B14)</f>
        <v>739902</v>
      </c>
      <c r="E14" s="3" t="s">
        <v>23</v>
      </c>
      <c r="F14" s="13" t="n">
        <f aca="false">SUMIFS('Clean Data'!$I$2:$I$621,'Clean Data'!$E$2:$E$621,E14)</f>
        <v>2341769</v>
      </c>
      <c r="H14" s="3" t="s">
        <v>28</v>
      </c>
      <c r="I14" s="13" t="n">
        <f aca="false">SUMIFS('Clean Data'!$I$2:$I$621,'Clean Data'!$F$2:$F$621,H14)</f>
        <v>1620011</v>
      </c>
    </row>
    <row r="15" customFormat="false" ht="15" hidden="false" customHeight="false" outlineLevel="0" collapsed="false">
      <c r="E15" s="3" t="s">
        <v>13</v>
      </c>
      <c r="F15" s="13" t="n">
        <f aca="false">SUMIFS('Clean Data'!$I$2:$I$621,'Clean Data'!$E$2:$E$621,E15)</f>
        <v>2066725</v>
      </c>
      <c r="H15" s="3" t="s">
        <v>35</v>
      </c>
      <c r="I15" s="13" t="n">
        <f aca="false">SUMIFS('Clean Data'!$I$2:$I$621,'Clean Data'!$F$2:$F$621,H15)</f>
        <v>1827283</v>
      </c>
    </row>
    <row r="16" customFormat="false" ht="15" hidden="false" customHeight="false" outlineLevel="0" collapsed="false">
      <c r="H16" s="3" t="s">
        <v>24</v>
      </c>
      <c r="I16" s="13" t="n">
        <f aca="false">SUMIFS('Clean Data'!$I$2:$I$621,'Clean Data'!$F$2:$F$621,H16)</f>
        <v>1869685</v>
      </c>
    </row>
    <row r="17" customFormat="false" ht="15" hidden="false" customHeight="false" outlineLevel="0" collapsed="false">
      <c r="H17" s="3" t="s">
        <v>1041</v>
      </c>
      <c r="I17" s="13" t="n">
        <f aca="false">SUMIFS('Clean Data'!$I$2:$I$621,'Clean Data'!$F$2:$F$621,H17)</f>
        <v>258023</v>
      </c>
    </row>
    <row r="21" customFormat="false" ht="15" hidden="false" customHeight="false" outlineLevel="0" collapsed="false">
      <c r="B21" s="8" t="s">
        <v>1336</v>
      </c>
    </row>
    <row r="22" customFormat="false" ht="15" hidden="false" customHeight="false" outlineLevel="0" collapsed="false">
      <c r="B22" s="2" t="s">
        <v>3</v>
      </c>
      <c r="C22" s="2" t="s">
        <v>1334</v>
      </c>
    </row>
    <row r="23" customFormat="false" ht="15" hidden="false" customHeight="false" outlineLevel="0" collapsed="false">
      <c r="B23" s="3" t="s">
        <v>105</v>
      </c>
      <c r="C23" s="13" t="n">
        <f aca="false">SUMIFS('Clean Data'!$I$2:$I$621,'Clean Data'!$C$2:$C$621,B23)</f>
        <v>919289</v>
      </c>
    </row>
    <row r="24" customFormat="false" ht="15" hidden="false" customHeight="false" outlineLevel="0" collapsed="false">
      <c r="B24" s="3" t="s">
        <v>55</v>
      </c>
      <c r="C24" s="13" t="n">
        <f aca="false">SUMIFS('Clean Data'!$I$2:$I$621,'Clean Data'!$C$2:$C$621,B24)</f>
        <v>126477</v>
      </c>
    </row>
    <row r="25" customFormat="false" ht="15" hidden="false" customHeight="false" outlineLevel="0" collapsed="false">
      <c r="B25" s="3" t="s">
        <v>21</v>
      </c>
      <c r="C25" s="13" t="n">
        <f aca="false">SUMIFS('Clean Data'!$I$2:$I$621,'Clean Data'!$C$2:$C$621,B25)</f>
        <v>235563</v>
      </c>
    </row>
    <row r="26" customFormat="false" ht="15" hidden="false" customHeight="false" outlineLevel="0" collapsed="false">
      <c r="B26" s="3" t="s">
        <v>27</v>
      </c>
      <c r="C26" s="13" t="n">
        <f aca="false">SUMIFS('Clean Data'!$I$2:$I$621,'Clean Data'!$C$2:$C$621,B26)</f>
        <v>504339</v>
      </c>
    </row>
    <row r="27" customFormat="false" ht="15" hidden="false" customHeight="false" outlineLevel="0" collapsed="false">
      <c r="B27" s="3" t="s">
        <v>16</v>
      </c>
      <c r="C27" s="13" t="n">
        <f aca="false">SUMIFS('Clean Data'!$I$2:$I$621,'Clean Data'!$C$2:$C$621,B27)</f>
        <v>1129548</v>
      </c>
    </row>
    <row r="28" customFormat="false" ht="15" hidden="false" customHeight="false" outlineLevel="0" collapsed="false">
      <c r="B28" s="3" t="s">
        <v>75</v>
      </c>
      <c r="C28" s="13" t="n">
        <f aca="false">SUMIFS('Clean Data'!$I$2:$I$621,'Clean Data'!$C$2:$C$621,B28)</f>
        <v>4067548</v>
      </c>
    </row>
    <row r="29" customFormat="false" ht="15" hidden="false" customHeight="false" outlineLevel="0" collapsed="false">
      <c r="B29" s="3" t="s">
        <v>31</v>
      </c>
      <c r="C29" s="13" t="n">
        <f aca="false">SUMIFS('Clean Data'!$I$2:$I$621,'Clean Data'!$C$2:$C$621,B29)</f>
        <v>562125</v>
      </c>
    </row>
    <row r="30" customFormat="false" ht="15" hidden="false" customHeight="false" outlineLevel="0" collapsed="false">
      <c r="B30" s="3" t="s">
        <v>93</v>
      </c>
      <c r="C30" s="13" t="n">
        <f aca="false">SUMIFS('Clean Data'!$I$2:$I$621,'Clean Data'!$C$2:$C$621,B30)</f>
        <v>565065</v>
      </c>
    </row>
    <row r="31" customFormat="false" ht="15" hidden="false" customHeight="false" outlineLevel="0" collapsed="false">
      <c r="B31" s="3" t="s">
        <v>38</v>
      </c>
      <c r="C31" s="13" t="n">
        <f aca="false">SUMIFS('Clean Data'!$I$2:$I$621,'Clean Data'!$C$2:$C$621,B31)</f>
        <v>837581</v>
      </c>
    </row>
    <row r="32" customFormat="false" ht="15" hidden="false" customHeight="false" outlineLevel="0" collapsed="false">
      <c r="B32" s="3" t="s">
        <v>45</v>
      </c>
      <c r="C32" s="13" t="n">
        <f aca="false">SUMIFS('Clean Data'!$I$2:$I$621,'Clean Data'!$C$2:$C$621,B32)</f>
        <v>313871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14"/>
  </cols>
  <sheetData>
    <row r="2" customFormat="false" ht="15" hidden="false" customHeight="false" outlineLevel="0" collapsed="false">
      <c r="B2" s="8" t="s">
        <v>1337</v>
      </c>
    </row>
    <row r="3" customFormat="false" ht="15" hidden="false" customHeight="false" outlineLevel="0" collapsed="false">
      <c r="B3" s="2" t="s">
        <v>1338</v>
      </c>
      <c r="C3" s="2" t="s">
        <v>1334</v>
      </c>
    </row>
    <row r="4" customFormat="false" ht="15" hidden="false" customHeight="false" outlineLevel="0" collapsed="false">
      <c r="B4" s="3" t="s">
        <v>1339</v>
      </c>
      <c r="C4" s="13" t="n">
        <f aca="false">SUMPRODUCT((TEXT('Clean Data'!$B$2:$B$621,"YYYY-MM")="2024-01")*'Clean Data'!$I$2:$I$621)</f>
        <v>921922</v>
      </c>
    </row>
    <row r="5" customFormat="false" ht="15" hidden="false" customHeight="false" outlineLevel="0" collapsed="false">
      <c r="B5" s="3" t="s">
        <v>1340</v>
      </c>
      <c r="C5" s="13" t="n">
        <f aca="false">SUMPRODUCT((TEXT('Clean Data'!$B$2:$B$621,"YYYY-MM")="2024-02")*'Clean Data'!$I$2:$I$621)</f>
        <v>673239</v>
      </c>
    </row>
    <row r="6" customFormat="false" ht="15" hidden="false" customHeight="false" outlineLevel="0" collapsed="false">
      <c r="B6" s="3" t="s">
        <v>1341</v>
      </c>
      <c r="C6" s="13" t="n">
        <f aca="false">SUMPRODUCT((TEXT('Clean Data'!$B$2:$B$621,"YYYY-MM")="2024-03")*'Clean Data'!$I$2:$I$621)</f>
        <v>946322</v>
      </c>
    </row>
    <row r="7" customFormat="false" ht="15" hidden="false" customHeight="false" outlineLevel="0" collapsed="false">
      <c r="B7" s="3" t="s">
        <v>1342</v>
      </c>
      <c r="C7" s="13" t="n">
        <f aca="false">SUMPRODUCT((TEXT('Clean Data'!$B$2:$B$621,"YYYY-MM")="2024-04")*'Clean Data'!$I$2:$I$621)</f>
        <v>945430</v>
      </c>
    </row>
    <row r="8" customFormat="false" ht="15" hidden="false" customHeight="false" outlineLevel="0" collapsed="false">
      <c r="B8" s="3" t="s">
        <v>1343</v>
      </c>
      <c r="C8" s="13" t="n">
        <f aca="false">SUMPRODUCT((TEXT('Clean Data'!$B$2:$B$621,"YYYY-MM")="2024-05")*'Clean Data'!$I$2:$I$621)</f>
        <v>715642</v>
      </c>
    </row>
    <row r="9" customFormat="false" ht="15" hidden="false" customHeight="false" outlineLevel="0" collapsed="false">
      <c r="B9" s="3" t="s">
        <v>1344</v>
      </c>
      <c r="C9" s="13" t="n">
        <f aca="false">SUMPRODUCT((TEXT('Clean Data'!$B$2:$B$621,"YYYY-MM")="2024-06")*'Clean Data'!$I$2:$I$621)</f>
        <v>601016</v>
      </c>
    </row>
    <row r="10" customFormat="false" ht="15" hidden="false" customHeight="false" outlineLevel="0" collapsed="false">
      <c r="B10" s="3" t="s">
        <v>1345</v>
      </c>
      <c r="C10" s="13" t="n">
        <f aca="false">SUMPRODUCT((TEXT('Clean Data'!$B$2:$B$621,"YYYY-MM")="2024-07")*'Clean Data'!$I$2:$I$621)</f>
        <v>746642</v>
      </c>
    </row>
    <row r="11" customFormat="false" ht="15" hidden="false" customHeight="false" outlineLevel="0" collapsed="false">
      <c r="B11" s="3" t="s">
        <v>1346</v>
      </c>
      <c r="C11" s="13" t="n">
        <f aca="false">SUMPRODUCT((TEXT('Clean Data'!$B$2:$B$621,"YYYY-MM")="2024-08")*'Clean Data'!$I$2:$I$621)</f>
        <v>896131</v>
      </c>
    </row>
    <row r="12" customFormat="false" ht="15" hidden="false" customHeight="false" outlineLevel="0" collapsed="false">
      <c r="B12" s="3" t="s">
        <v>1347</v>
      </c>
      <c r="C12" s="13" t="n">
        <f aca="false">SUMPRODUCT((TEXT('Clean Data'!$B$2:$B$621,"YYYY-MM")="2024-09")*'Clean Data'!$I$2:$I$621)</f>
        <v>660964</v>
      </c>
    </row>
    <row r="13" customFormat="false" ht="15" hidden="false" customHeight="false" outlineLevel="0" collapsed="false">
      <c r="B13" s="3" t="s">
        <v>1348</v>
      </c>
      <c r="C13" s="13" t="n">
        <f aca="false">SUMPRODUCT((TEXT('Clean Data'!$B$2:$B$621,"YYYY-MM")="2024-10")*'Clean Data'!$I$2:$I$621)</f>
        <v>824132</v>
      </c>
    </row>
    <row r="14" customFormat="false" ht="15" hidden="false" customHeight="false" outlineLevel="0" collapsed="false">
      <c r="B14" s="3" t="s">
        <v>1349</v>
      </c>
      <c r="C14" s="13" t="n">
        <f aca="false">SUMPRODUCT((TEXT('Clean Data'!$B$2:$B$621,"YYYY-MM")="2024-11")*'Clean Data'!$I$2:$I$621)</f>
        <v>542940</v>
      </c>
    </row>
    <row r="15" customFormat="false" ht="15" hidden="false" customHeight="false" outlineLevel="0" collapsed="false">
      <c r="B15" s="3" t="s">
        <v>1350</v>
      </c>
      <c r="C15" s="13" t="n">
        <f aca="false">SUMPRODUCT((TEXT('Clean Data'!$B$2:$B$621,"YYYY-MM")="2024-12")*'Clean Data'!$I$2:$I$621)</f>
        <v>787026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2026-08-11T18:41:52Z</dcterms:created>
  <dc:creator>openpyxl</dc:creator>
  <dc:description/>
  <dc:language>en-US</dc:language>
  <cp:lastModifiedBy/>
  <dcterms:modified xsi:type="dcterms:W3CDTF">2026-08-11T18:42:00Z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